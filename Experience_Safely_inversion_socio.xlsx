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e1966eb3c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inversion" sheetId="1" r:id="Rf427574efd734148"/>
    <x:sheet xmlns:r="http://schemas.openxmlformats.org/officeDocument/2006/relationships" name="Uso de fondos" sheetId="2" r:id="Rccc1a969befe4a2c"/>
    <x:sheet xmlns:r="http://schemas.openxmlformats.org/officeDocument/2006/relationships" name="Modelo ingresos" sheetId="3" r:id="R9c14ffc53789451f"/>
    <x:sheet xmlns:r="http://schemas.openxmlformats.org/officeDocument/2006/relationships" name="Proyeccion 24 meses" sheetId="4" r:id="R7f2b86ab94da456b"/>
    <x:sheet xmlns:r="http://schemas.openxmlformats.org/officeDocument/2006/relationships" name="Escenarios" sheetId="5" r:id="R7a137ac3437d40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;[Red](&quot;$&quot;#,##0);&quot;$-&quot;"/>
    <x:numFmt numFmtId="201" formatCode="0.0%"/>
    <x:numFmt numFmtId="202" formatCode="#,##0;[Red](#,##0);-"/>
  </x:numFmts>
  <x:fonts count="9">
    <x:font>
      <x:sz val="11"/>
      <x:name val="Carlito"/>
    </x:font>
    <x:font>
      <x:b/>
      <x:sz val="20"/>
      <x:color rgb="FF70AD47"/>
      <x:name val="Aptos"/>
    </x:font>
    <x:font>
      <x:b/>
      <x:sz val="10"/>
      <x:color rgb="FF1F4E1F"/>
      <x:name val="Aptos"/>
    </x:font>
    <x:font>
      <x:b/>
      <x:sz val="11"/>
      <x:color rgb="FF0000FF"/>
      <x:name val="Carlito"/>
    </x:font>
    <x:font>
      <x:b/>
      <x:sz val="10"/>
      <x:color rgb="FF000000"/>
      <x:name val="Aptos"/>
    </x:font>
    <x:font>
      <x:b/>
      <x:sz val="10"/>
      <x:color rgb="FFFFFFFF"/>
      <x:name val="Aptos"/>
    </x:font>
    <x:font>
      <x:b/>
      <x:sz val="10"/>
      <x:color rgb="FF70AD47"/>
      <x:name val="Aptos"/>
    </x:font>
    <x:font>
      <x:sz val="10"/>
      <x:name val="Aptos"/>
    </x:font>
    <x:font>
      <x:b/>
      <x:sz val="10"/>
      <x:color rgb="FF0000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A9D18E"/>
      </x:patternFill>
    </x:fill>
    <x:fill>
      <x:patternFill patternType="solid">
        <x:fgColor rgb="FFFFF2CC"/>
      </x:patternFill>
    </x:fill>
    <x:fill>
      <x:patternFill patternType="solid">
        <x:fgColor rgb="FFC9B6D9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202" fontId="3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0" fontId="3" fillId="6" borderId="0" xfId="0" applyNumberFormat="1" applyFont="1" applyFill="1" applyBorder="1"/>
    <x:xf numFmtId="201" fontId="3" fillId="6" borderId="0" xfId="0" applyNumberFormat="1" applyFont="1" applyFill="1" applyBorder="1"/>
    <x:xf numFmtId="202" fontId="3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201" fontId="4" fillId="6" borderId="0" xfId="0" applyNumberFormat="1" applyFont="1" applyFill="1" applyBorder="1"/>
    <x:xf numFmtId="202" fontId="4" fillId="6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2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1" fontId="4" fillId="5" borderId="1" xfId="0" applyNumberFormat="1" applyFont="1" applyFill="1" applyBorder="1"/>
    <x:xf numFmtId="0" fontId="4" fillId="6" borderId="1" xfId="0" applyNumberFormat="1" applyFont="1" applyFill="1" applyBorder="1"/>
    <x:xf numFmtId="200" fontId="4" fillId="6" borderId="1" xfId="0" applyNumberFormat="1" applyFont="1" applyFill="1" applyBorder="1"/>
    <x:xf numFmtId="201" fontId="4" fillId="6" borderId="1" xfId="0" applyNumberFormat="1" applyFont="1" applyFill="1" applyBorder="1"/>
    <x:xf numFmtId="202" fontId="4" fillId="6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2" fontId="3" fillId="4" borderId="1" xfId="0" applyNumberFormat="1" applyFont="1" applyFill="1" applyBorder="1"/>
    <x:xf numFmtId="201" fontId="3" fillId="4" borderId="1" xfId="0" applyNumberFormat="1" applyFont="1" applyFill="1" applyBorder="1"/>
    <x:xf numFmtId="200" fontId="3" fillId="4" borderId="1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1" xfId="0" applyNumberFormat="1" applyFont="1" applyFill="1" applyBorder="1"/>
    <x:xf numFmtId="201" fontId="7" fillId="0" borderId="1" xfId="0" applyNumberFormat="1" applyFont="1" applyFill="1" applyBorder="1"/>
    <x:xf numFmtId="202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202" fontId="8" fillId="4" borderId="1" xfId="0" applyNumberFormat="1" applyFont="1" applyFill="1" applyBorder="1"/>
    <x:xf numFmtId="201" fontId="8" fillId="4" borderId="1" xfId="0" applyNumberFormat="1" applyFont="1" applyFill="1" applyBorder="1"/>
    <x:xf numFmtId="200" fontId="8" fillId="4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84f15461e46c2" /><Relationship Type="http://schemas.openxmlformats.org/officeDocument/2006/relationships/theme" Target="/xl/theme/theme1.xml" Id="R18aad795fe8e4257" /><Relationship Type="http://schemas.openxmlformats.org/officeDocument/2006/relationships/sharedStrings" Target="/xl/sharedStrings.xml" Id="Rcc61cf6452714616" /><Relationship Type="http://schemas.openxmlformats.org/officeDocument/2006/relationships/worksheet" Target="/xl/worksheets/sheet1.xml" Id="Rf427574efd734148" /><Relationship Type="http://schemas.openxmlformats.org/officeDocument/2006/relationships/worksheet" Target="/xl/worksheets/sheet2.xml" Id="Rccc1a969befe4a2c" /><Relationship Type="http://schemas.openxmlformats.org/officeDocument/2006/relationships/worksheet" Target="/xl/worksheets/sheet3.xml" Id="R9c14ffc53789451f" /><Relationship Type="http://schemas.openxmlformats.org/officeDocument/2006/relationships/worksheet" Target="/xl/worksheets/sheet4.xml" Id="R7f2b86ab94da456b" /><Relationship Type="http://schemas.openxmlformats.org/officeDocument/2006/relationships/worksheet" Target="/xl/worksheets/sheet5.xml" Id="R7a137ac3437d40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8" hidden="0" customWidth="1"/>
    <x:col min="5" max="5" width="30" hidden="0" customWidth="1"/>
    <x:col min="6" max="6" width="26" hidden="0" customWidth="1"/>
    <x:col min="9" max="9" width="34" hidden="0" customWidth="1"/>
  </x:cols>
  <x:sheetData>
    <x:row r="2">
      <x:c r="B2" s="4" t="str">
        <x:v>Experience Safely - Propuesta para inversionistas</x:v>
      </x:c>
      <x:c r="C2" s="4" t="str">
        <x:v>Experience Safely - Propuesta para inversionistas</x:v>
      </x:c>
      <x:c r="D2" s="4" t="str">
        <x:v>Experience Safely - Propuesta para inversionistas</x:v>
      </x:c>
      <x:c r="E2" s="4" t="str">
        <x:v>Experience Safely - Propuesta para inversionistas</x:v>
      </x:c>
      <x:c r="F2" s="4" t="str">
        <x:v>Experience Safely - Propuesta para inversionistas</x:v>
      </x:c>
      <x:c r="G2" s="4" t="str">
        <x:v>Experience Safely - Propuesta para inversionistas</x:v>
      </x:c>
      <x:c r="H2" s="4" t="str">
        <x:v>Experience Safely - Propuesta para inversionistas</x:v>
      </x:c>
      <x:c r="I2" s="4" t="str">
        <x:v>Experience Safely - Propuesta para inversionistas</x:v>
      </x:c>
      <x:c r="J2" s="4" t="str">
        <x:v>Experience Safely - Propuesta para inversionistas</x:v>
      </x:c>
    </x:row>
    <x:row r="3">
      <x:c r="B3" s="4" t="str">
        <x:v>Experience Safely - Propuesta para inversionistas</x:v>
      </x:c>
      <x:c r="C3" s="4" t="str">
        <x:v>Experience Safely - Propuesta para inversionistas</x:v>
      </x:c>
      <x:c r="D3" s="4" t="str">
        <x:v>Experience Safely - Propuesta para inversionistas</x:v>
      </x:c>
      <x:c r="E3" s="4" t="str">
        <x:v>Experience Safely - Propuesta para inversionistas</x:v>
      </x:c>
      <x:c r="F3" s="4" t="str">
        <x:v>Experience Safely - Propuesta para inversionistas</x:v>
      </x:c>
      <x:c r="G3" s="4" t="str">
        <x:v>Experience Safely - Propuesta para inversionistas</x:v>
      </x:c>
      <x:c r="H3" s="4" t="str">
        <x:v>Experience Safely - Propuesta para inversionistas</x:v>
      </x:c>
      <x:c r="I3" s="4" t="str">
        <x:v>Experience Safely - Propuesta para inversionistas</x:v>
      </x:c>
      <x:c r="J3" s="4" t="str">
        <x:v>Experience Safely - Propuesta para inversionistas</x:v>
      </x:c>
    </x:row>
    <x:row r="4">
      <x:c r="B4" s="4" t="str">
        <x:v>Experience Safely - Propuesta para inversionistas</x:v>
      </x:c>
      <x:c r="C4" s="4" t="str">
        <x:v>Experience Safely - Propuesta para inversionistas</x:v>
      </x:c>
      <x:c r="D4" s="4" t="str">
        <x:v>Experience Safely - Propuesta para inversionistas</x:v>
      </x:c>
      <x:c r="E4" s="4" t="str">
        <x:v>Experience Safely - Propuesta para inversionistas</x:v>
      </x:c>
      <x:c r="F4" s="4" t="str">
        <x:v>Experience Safely - Propuesta para inversionistas</x:v>
      </x:c>
      <x:c r="G4" s="4" t="str">
        <x:v>Experience Safely - Propuesta para inversionistas</x:v>
      </x:c>
      <x:c r="H4" s="4" t="str">
        <x:v>Experience Safely - Propuesta para inversionistas</x:v>
      </x:c>
      <x:c r="I4" s="4" t="str">
        <x:v>Experience Safely - Propuesta para inversionistas</x:v>
      </x:c>
      <x:c r="J4" s="4" t="str">
        <x:v>Experience Safely - Propuesta para inversionistas</x:v>
      </x:c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</x:row>
    <x:row r="6">
      <x:c r="B6" s="31" t="str">
        <x:v>Indicador</x:v>
      </x:c>
      <x:c r="C6" s="31" t="str">
        <x:v>Valor</x:v>
      </x:c>
      <x:c r="D6" s="31" t="str">
        <x:v>Unidad</x:v>
      </x:c>
      <x:c r="E6" s="31" t="str">
        <x:v>Lectura</x:v>
      </x:c>
      <x:c r="F6" s="31" t="str"/>
      <x:c r="G6" s="31" t="str">
        <x:v>Uso</x:v>
      </x:c>
      <x:c r="H6" s="31" t="str">
        <x:v>Monto</x:v>
      </x:c>
      <x:c r="I6" s="31" t="str">
        <x:v>%</x:v>
      </x:c>
      <x:c r="J6" s="31" t="str">
        <x:v>Notas</x:v>
      </x:c>
    </x:row>
    <x:row r="7">
      <x:c r="B7" s="39" t="str">
        <x:v>Uso total de fondos</x:v>
      </x:c>
      <x:c r="C7" s="40" t="n">
        <x:f>'Uso de fondos'!E21</x:f>
        <x:v>800000</x:v>
      </x:c>
      <x:c r="D7" s="39" t="str">
        <x:v>MXN</x:v>
      </x:c>
      <x:c r="E7" s="39" t="str">
        <x:v>Arranque completo</x:v>
      </x:c>
      <x:c r="F7" s="54" t="str">
        <x:v>Vehiculos con logo</x:v>
      </x:c>
      <x:c r="G7" s="55" t="n">
        <x:f>'Uso de fondos'!E7</x:f>
        <x:v>180000</x:v>
      </x:c>
      <x:c r="H7" s="56" t="n">
        <x:f>'Uso de fondos'!F7</x:f>
        <x:v>0.225</x:v>
      </x:c>
      <x:c r="I7" s="54" t="str">
        <x:v>Activos visibles de marca</x:v>
      </x:c>
      <x:c r="J7" s="54" t="str"/>
    </x:row>
    <x:row r="8">
      <x:c r="B8" s="39" t="str">
        <x:v>Ronda socios</x:v>
      </x:c>
      <x:c r="C8" s="40" t="n">
        <x:f>'Uso de fondos'!E22</x:f>
        <x:v>600000</x:v>
      </x:c>
      <x:c r="D8" s="39" t="str">
        <x:v>MXN</x:v>
      </x:c>
      <x:c r="E8" s="39" t="str">
        <x:v>Capital a negociar</x:v>
      </x:c>
      <x:c r="F8" s="54" t="str">
        <x:v>Equipo comercial y demos</x:v>
      </x:c>
      <x:c r="G8" s="55" t="n">
        <x:f>SUM('Uso de fondos'!E10:E11)</x:f>
        <x:v>130000</x:v>
      </x:c>
      <x:c r="H8" s="56" t="n">
        <x:f>G8/'Uso de fondos'!$E$19</x:f>
        <x:v>0.1625</x:v>
      </x:c>
      <x:c r="I8" s="54" t="str">
        <x:v>Representantes + tabletas</x:v>
      </x:c>
      <x:c r="J8" s="54" t="str"/>
    </x:row>
    <x:row r="9">
      <x:c r="B9" s="39" t="str">
        <x:v>Sociedad para socios</x:v>
      </x:c>
      <x:c r="C9" s="41" t="n">
        <x:f>'Uso de fondos'!E23</x:f>
        <x:v>0.6</x:v>
      </x:c>
      <x:c r="D9" s="39" t="str">
        <x:v>%</x:v>
      </x:c>
      <x:c r="E9" s="39" t="str">
        <x:v>60% total</x:v>
      </x:c>
      <x:c r="F9" s="54" t="str">
        <x:v>Branding fisico</x:v>
      </x:c>
      <x:c r="G9" s="55" t="n">
        <x:f>SUM('Uso de fondos'!E8:E9,'Uso de fondos'!E12:E13)</x:f>
        <x:v>120000</x:v>
      </x:c>
      <x:c r="H9" s="56" t="n">
        <x:f>G9/'Uso de fondos'!$E$19</x:f>
        <x:v>0.15</x:v>
      </x:c>
      <x:c r="I9" s="54" t="str">
        <x:v>Uniformes, impresos, banderines, medallas</x:v>
      </x:c>
      <x:c r="J9" s="54" t="str"/>
    </x:row>
    <x:row r="10">
      <x:c r="B10" s="39" t="str">
        <x:v>Maximo de socios</x:v>
      </x:c>
      <x:c r="C10" s="42" t="n">
        <x:f>'Uso de fondos'!E24</x:f>
        <x:v>3</x:v>
      </x:c>
      <x:c r="D10" s="39" t="str">
        <x:v>socios</x:v>
      </x:c>
      <x:c r="E10" s="39" t="str">
        <x:v>Limite de entrada</x:v>
      </x:c>
      <x:c r="F10" s="54" t="str">
        <x:v>Marketing internacional</x:v>
      </x:c>
      <x:c r="G10" s="55" t="n">
        <x:f>'Uso de fondos'!E14</x:f>
        <x:v>140000</x:v>
      </x:c>
      <x:c r="H10" s="56" t="n">
        <x:f>'Uso de fondos'!F14</x:f>
        <x:v>0.175</x:v>
      </x:c>
      <x:c r="I10" s="54" t="str">
        <x:v>4 meses de campana</x:v>
      </x:c>
      <x:c r="J10" s="54" t="str"/>
    </x:row>
    <x:row r="11">
      <x:c r="B11" s="39" t="str">
        <x:v>Ticket sugerido por socio</x:v>
      </x:c>
      <x:c r="C11" s="40" t="n">
        <x:f>'Uso de fondos'!E25</x:f>
        <x:v>200000</x:v>
      </x:c>
      <x:c r="D11" s="39" t="str">
        <x:v>MXN</x:v>
      </x:c>
      <x:c r="E11" s="39" t="str">
        <x:v>$200,000 si entran 3</x:v>
      </x:c>
      <x:c r="F11" s="54" t="str">
        <x:v>Sistema y lanzamiento</x:v>
      </x:c>
      <x:c r="G11" s="55" t="n">
        <x:f>SUM('Uso de fondos'!E15:E16)</x:f>
        <x:v>220000</x:v>
      </x:c>
      <x:c r="H11" s="56" t="n">
        <x:f>G11/'Uso de fondos'!$E$19</x:f>
        <x:v>0.275</x:v>
      </x:c>
      <x:c r="I11" s="54" t="str">
        <x:v>Mantenimiento + rueda de prensa</x:v>
      </x:c>
      <x:c r="J11" s="54" t="str"/>
    </x:row>
    <x:row r="12">
      <x:c r="B12" s="39" t="str">
        <x:v>Porcentaje por socio</x:v>
      </x:c>
      <x:c r="C12" s="41" t="n">
        <x:f>'Uso de fondos'!E26</x:f>
        <x:v>0.19999999999999998</x:v>
      </x:c>
      <x:c r="D12" s="39" t="str">
        <x:v>%</x:v>
      </x:c>
      <x:c r="E12" s="39" t="str">
        <x:v>20% si entran parejo</x:v>
      </x:c>
      <x:c r="F12" s="54" t="str">
        <x:v>Reserva / ajuste</x:v>
      </x:c>
      <x:c r="G12" s="55" t="n">
        <x:f>'Uso de fondos'!E18</x:f>
        <x:v>10000</x:v>
      </x:c>
      <x:c r="H12" s="56" t="n">
        <x:f>'Uso de fondos'!F18</x:f>
        <x:v>0.0125</x:v>
      </x:c>
      <x:c r="I12" s="54" t="str">
        <x:v>Colchon operativo</x:v>
      </x:c>
      <x:c r="J12" s="54" t="str"/>
    </x:row>
    <x:row r="13">
      <x:c r="B13" s="39" t="str">
        <x:v>Ingreso mensual inicial</x:v>
      </x:c>
      <x:c r="C13" s="40" t="n">
        <x:f>'Modelo ingresos'!G14</x:f>
        <x:v>166400</x:v>
      </x:c>
      <x:c r="D13" s="39" t="str">
        <x:v>MXN</x:v>
      </x:c>
      <x:c r="E13" s="39" t="str">
        <x:v>Comision + pago mensual</x:v>
      </x:c>
      <x:c r="F13" s="54"/>
      <x:c r="G13" s="54"/>
      <x:c r="H13" s="54"/>
      <x:c r="I13" s="54"/>
      <x:c r="J13" s="54"/>
    </x:row>
    <x:row r="14">
      <x:c r="B14" s="39" t="str">
        <x:v>Ingreso mensual mes 12</x:v>
      </x:c>
      <x:c r="C14" s="40" t="n">
        <x:f>'Proyeccion 24 meses'!N14</x:f>
        <x:v>359773.32054124953</x:v>
      </x:c>
      <x:c r="D14" s="39" t="str">
        <x:v>MXN</x:v>
      </x:c>
      <x:c r="E14" s="39" t="str">
        <x:v>Mas experiencias y mas clientes</x:v>
      </x:c>
      <x:c r="F14" s="54"/>
      <x:c r="G14" s="54"/>
      <x:c r="H14" s="54"/>
      <x:c r="I14" s="54"/>
      <x:c r="J14" s="54"/>
    </x:row>
    <x:row r="15">
      <x:c r="B15" s="39" t="str">
        <x:v>Caja final mes 24</x:v>
      </x:c>
      <x:c r="C15" s="40" t="n">
        <x:f>'Proyeccion 24 meses'!Z26</x:f>
        <x:v>3889492.6702936264</x:v>
      </x:c>
      <x:c r="D15" s="39" t="str">
        <x:v>MXN</x:v>
      </x:c>
      <x:c r="E15" s="39" t="str">
        <x:v>Caja acumulada estimada</x:v>
      </x:c>
      <x:c r="F15" s="54"/>
      <x:c r="G15" s="54"/>
      <x:c r="H15" s="54"/>
      <x:c r="I15" s="54"/>
      <x:c r="J15" s="54"/>
    </x:row>
    <x:row r="16">
      <x:c r="B16" s="39" t="str">
        <x:v>Mes de punto de equilibrio</x:v>
      </x:c>
      <x:c r="C16" s="42" t="n">
        <x:f>IFERROR(MATCH(TRUE,'Proyeccion 24 meses'!C21:Z21&gt;0,0),"No alcanzado")</x:f>
        <x:v>5</x:v>
      </x:c>
      <x:c r="D16" s="39" t="str">
        <x:v>mes</x:v>
      </x:c>
      <x:c r="E16" s="39" t="str">
        <x:v>Primer EBITDA mensual positivo</x:v>
      </x:c>
      <x:c r="F16" s="54"/>
      <x:c r="G16" s="54"/>
      <x:c r="H16" s="54"/>
      <x:c r="I16" s="54"/>
      <x:c r="J16" s="54"/>
    </x:row>
  </x:sheetData>
  <x:mergeCells>
    <x:mergeCell ref="B2:J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2" hidden="0" customWidth="1"/>
  </x:cols>
  <x:sheetData>
    <x:row r="2">
      <x:c r="B2" s="4" t="str">
        <x:v>Experience Safely - Uso de fondos para lanzamiento</x:v>
      </x:c>
      <x:c r="C2" s="4" t="str">
        <x:v>Experience Safely - Uso de fondos para lanzamiento</x:v>
      </x:c>
      <x:c r="D2" s="4" t="str">
        <x:v>Experience Safely - Uso de fondos para lanzamiento</x:v>
      </x:c>
      <x:c r="E2" s="4" t="str">
        <x:v>Experience Safely - Uso de fondos para lanzamiento</x:v>
      </x:c>
      <x:c r="F2" s="4" t="str">
        <x:v>Experience Safely - Uso de fondos para lanzamiento</x:v>
      </x:c>
      <x:c r="G2" s="4" t="str">
        <x:v>Experience Safely - Uso de fondos para lanzamiento</x:v>
      </x:c>
      <x:c r="H2" s="4" t="str">
        <x:v>Experience Safely - Uso de fondos para lanzamiento</x:v>
      </x:c>
    </x:row>
    <x:row r="3">
      <x:c r="B3" s="4" t="str">
        <x:v>Experience Safely - Uso de fondos para lanzamiento</x:v>
      </x:c>
      <x:c r="C3" s="4" t="str">
        <x:v>Experience Safely - Uso de fondos para lanzamiento</x:v>
      </x:c>
      <x:c r="D3" s="4" t="str">
        <x:v>Experience Safely - Uso de fondos para lanzamiento</x:v>
      </x:c>
      <x:c r="E3" s="4" t="str">
        <x:v>Experience Safely - Uso de fondos para lanzamiento</x:v>
      </x:c>
      <x:c r="F3" s="4" t="str">
        <x:v>Experience Safely - Uso de fondos para lanzamiento</x:v>
      </x:c>
      <x:c r="G3" s="4" t="str">
        <x:v>Experience Safely - Uso de fondos para lanzamiento</x:v>
      </x:c>
      <x:c r="H3" s="4" t="str">
        <x:v>Experience Safely - Uso de fondos para lanzamiento</x:v>
      </x:c>
    </x:row>
    <x:row r="4">
      <x:c r="B4" s="4" t="str">
        <x:v>Experience Safely - Uso de fondos para lanzamiento</x:v>
      </x:c>
      <x:c r="C4" s="4" t="str">
        <x:v>Experience Safely - Uso de fondos para lanzamiento</x:v>
      </x:c>
      <x:c r="D4" s="4" t="str">
        <x:v>Experience Safely - Uso de fondos para lanzamiento</x:v>
      </x:c>
      <x:c r="E4" s="4" t="str">
        <x:v>Experience Safely - Uso de fondos para lanzamiento</x:v>
      </x:c>
      <x:c r="F4" s="4" t="str">
        <x:v>Experience Safely - Uso de fondos para lanzamiento</x:v>
      </x:c>
      <x:c r="G4" s="4" t="str">
        <x:v>Experience Safely - Uso de fondos para lanzamiento</x:v>
      </x:c>
      <x:c r="H4" s="4" t="str">
        <x:v>Experience Safely - Uso de fondos para lanzamiento</x:v>
      </x:c>
    </x:row>
    <x:row r="5">
      <x:c r="B5" s="53"/>
      <x:c r="C5" s="53"/>
      <x:c r="D5" s="53"/>
      <x:c r="E5" s="53"/>
      <x:c r="F5" s="53"/>
      <x:c r="G5" s="53"/>
      <x:c r="H5" s="53"/>
    </x:row>
    <x:row r="6">
      <x:c r="B6" s="31" t="str">
        <x:v>Concepto</x:v>
      </x:c>
      <x:c r="C6" s="31" t="str">
        <x:v>Cantidad</x:v>
      </x:c>
      <x:c r="D6" s="31" t="str">
        <x:v>Costo unitario</x:v>
      </x:c>
      <x:c r="E6" s="31" t="str">
        <x:v>Costo total</x:v>
      </x:c>
      <x:c r="F6" s="31" t="str">
        <x:v>% del total</x:v>
      </x:c>
      <x:c r="G6" s="31" t="str">
        <x:v>Prioridad</x:v>
      </x:c>
      <x:c r="H6" s="31" t="str">
        <x:v>Notas</x:v>
      </x:c>
    </x:row>
    <x:row r="7">
      <x:c r="B7" s="54" t="str">
        <x:v>Vehiculos rotulados con logo</x:v>
      </x:c>
      <x:c r="C7" s="57" t="n">
        <x:v>2</x:v>
      </x:c>
      <x:c r="D7" s="55" t="n">
        <x:v>90000</x:v>
      </x:c>
      <x:c r="E7" s="55" t="n">
        <x:f>C7*D7</x:f>
        <x:v>180000</x:v>
      </x:c>
      <x:c r="F7" s="56" t="n">
        <x:f>E7/$E$19</x:f>
        <x:v>0.225</x:v>
      </x:c>
      <x:c r="G7" s="54" t="str">
        <x:v>Alta</x:v>
      </x:c>
      <x:c r="H7" s="58" t="str">
        <x:v>Presencia fisica, confianza y operacion comercial</x:v>
      </x:c>
    </x:row>
    <x:row r="8">
      <x:c r="B8" s="54" t="str">
        <x:v>Uniformes representantes</x:v>
      </x:c>
      <x:c r="C8" s="57" t="n">
        <x:v>4</x:v>
      </x:c>
      <x:c r="D8" s="55" t="n">
        <x:v>2500</x:v>
      </x:c>
      <x:c r="E8" s="55" t="n">
        <x:f>C8*D8</x:f>
        <x:v>10000</x:v>
      </x:c>
      <x:c r="F8" s="56" t="n">
        <x:f>E8/$E$19</x:f>
        <x:v>0.0125</x:v>
      </x:c>
      <x:c r="G8" s="54" t="str">
        <x:v>Alta</x:v>
      </x:c>
      <x:c r="H8" s="58" t="str">
        <x:v>Imagen profesional para activaciones y demos</x:v>
      </x:c>
    </x:row>
    <x:row r="9">
      <x:c r="B9" s="54" t="str">
        <x:v>Branding e impresos</x:v>
      </x:c>
      <x:c r="C9" s="57" t="n">
        <x:v>1</x:v>
      </x:c>
      <x:c r="D9" s="55" t="n">
        <x:v>60000</x:v>
      </x:c>
      <x:c r="E9" s="55" t="n">
        <x:f>C9*D9</x:f>
        <x:v>60000</x:v>
      </x:c>
      <x:c r="F9" s="56" t="n">
        <x:f>E9/$E$19</x:f>
        <x:v>0.075</x:v>
      </x:c>
      <x:c r="G9" s="54" t="str">
        <x:v>Alta</x:v>
      </x:c>
      <x:c r="H9" s="58" t="str">
        <x:v>Identidad, manual visual, folletos, brochures y material comercial</x:v>
      </x:c>
    </x:row>
    <x:row r="10">
      <x:c r="B10" s="54" t="str">
        <x:v>Representantes de marca - 4 meses</x:v>
      </x:c>
      <x:c r="C10" s="57" t="n">
        <x:v>4</x:v>
      </x:c>
      <x:c r="D10" s="55" t="n">
        <x:v>25000</x:v>
      </x:c>
      <x:c r="E10" s="55" t="n">
        <x:f>C10*D10</x:f>
        <x:v>100000</x:v>
      </x:c>
      <x:c r="F10" s="56" t="n">
        <x:f>E10/$E$19</x:f>
        <x:v>0.125</x:v>
      </x:c>
      <x:c r="G10" s="54" t="str">
        <x:v>Alta</x:v>
      </x:c>
      <x:c r="H10" s="58" t="str">
        <x:v>4 personas por 4 meses, costo promedio por representante</x:v>
      </x:c>
    </x:row>
    <x:row r="11">
      <x:c r="B11" s="54" t="str">
        <x:v>Tabletas para demos</x:v>
      </x:c>
      <x:c r="C11" s="57" t="n">
        <x:v>4</x:v>
      </x:c>
      <x:c r="D11" s="55" t="n">
        <x:v>7500</x:v>
      </x:c>
      <x:c r="E11" s="55" t="n">
        <x:f>C11*D11</x:f>
        <x:v>30000</x:v>
      </x:c>
      <x:c r="F11" s="56" t="n">
        <x:f>E11/$E$19</x:f>
        <x:v>0.0375</x:v>
      </x:c>
      <x:c r="G11" s="54" t="str">
        <x:v>Alta</x:v>
      </x:c>
      <x:c r="H11" s="58" t="str">
        <x:v>Demos con proveedores, hoteles y experiencias</x:v>
      </x:c>
    </x:row>
    <x:row r="12">
      <x:c r="B12" s="54" t="str">
        <x:v>Banderines y material de campo</x:v>
      </x:c>
      <x:c r="C12" s="57" t="n">
        <x:v>1</x:v>
      </x:c>
      <x:c r="D12" s="55" t="n">
        <x:v>25000</x:v>
      </x:c>
      <x:c r="E12" s="55" t="n">
        <x:f>C12*D12</x:f>
        <x:v>25000</x:v>
      </x:c>
      <x:c r="F12" s="56" t="n">
        <x:f>E12/$E$19</x:f>
        <x:v>0.03125</x:v>
      </x:c>
      <x:c r="G12" s="54" t="str">
        <x:v>Media</x:v>
      </x:c>
      <x:c r="H12" s="58" t="str">
        <x:v>Presencia en puntos turisticos y eventos</x:v>
      </x:c>
    </x:row>
    <x:row r="13">
      <x:c r="B13" s="54" t="str">
        <x:v>Medallas de certificacion</x:v>
      </x:c>
      <x:c r="C13" s="57" t="n">
        <x:v>1</x:v>
      </x:c>
      <x:c r="D13" s="55" t="n">
        <x:v>25000</x:v>
      </x:c>
      <x:c r="E13" s="55" t="n">
        <x:f>C13*D13</x:f>
        <x:v>25000</x:v>
      </x:c>
      <x:c r="F13" s="56" t="n">
        <x:f>E13/$E$19</x:f>
        <x:v>0.03125</x:v>
      </x:c>
      <x:c r="G13" s="54" t="str">
        <x:v>Alta</x:v>
      </x:c>
      <x:c r="H13" s="58" t="str">
        <x:v>Sello fisico de Experience Safely Verified</x:v>
      </x:c>
    </x:row>
    <x:row r="14">
      <x:c r="B14" s="54" t="str">
        <x:v>Campaña marketing internacional - 4 meses</x:v>
      </x:c>
      <x:c r="C14" s="57" t="n">
        <x:v>1</x:v>
      </x:c>
      <x:c r="D14" s="55" t="n">
        <x:v>140000</x:v>
      </x:c>
      <x:c r="E14" s="55" t="n">
        <x:f>C14*D14</x:f>
        <x:v>140000</x:v>
      </x:c>
      <x:c r="F14" s="56" t="n">
        <x:f>E14/$E$19</x:f>
        <x:v>0.175</x:v>
      </x:c>
      <x:c r="G14" s="54" t="str">
        <x:v>Alta</x:v>
      </x:c>
      <x:c r="H14" s="58" t="str">
        <x:v>Promocion hacia turistas extranjeros</x:v>
      </x:c>
    </x:row>
    <x:row r="15">
      <x:c r="B15" s="54" t="str">
        <x:v>Costo plataforma y mantenimiento</x:v>
      </x:c>
      <x:c r="C15" s="57" t="n">
        <x:v>1</x:v>
      </x:c>
      <x:c r="D15" s="55" t="n">
        <x:v>180000</x:v>
      </x:c>
      <x:c r="E15" s="55" t="n">
        <x:f>C15*D15</x:f>
        <x:v>180000</x:v>
      </x:c>
      <x:c r="F15" s="56" t="n">
        <x:f>E15/$E$19</x:f>
        <x:v>0.225</x:v>
      </x:c>
      <x:c r="G15" s="54" t="str">
        <x:v>Alta</x:v>
      </x:c>
      <x:c r="H15" s="58" t="str">
        <x:v>Plataforma, hosting, mejoras, soporte tecnico e IA</x:v>
      </x:c>
    </x:row>
    <x:row r="16">
      <x:c r="B16" s="54" t="str">
        <x:v>Presentacion de marca / rueda de prensa</x:v>
      </x:c>
      <x:c r="C16" s="57" t="n">
        <x:v>1</x:v>
      </x:c>
      <x:c r="D16" s="55" t="n">
        <x:v>40000</x:v>
      </x:c>
      <x:c r="E16" s="55" t="n">
        <x:f>C16*D16</x:f>
        <x:v>40000</x:v>
      </x:c>
      <x:c r="F16" s="56" t="n">
        <x:f>E16/$E$19</x:f>
        <x:v>0.05</x:v>
      </x:c>
      <x:c r="G16" s="54" t="str">
        <x:v>Alta</x:v>
      </x:c>
      <x:c r="H16" s="58" t="str">
        <x:v>Lanzamiento formal ante medios y aliados</x:v>
      </x:c>
    </x:row>
    <x:row r="17">
      <x:c r="B17" s="54"/>
      <x:c r="C17" s="57"/>
      <x:c r="D17" s="55"/>
      <x:c r="E17" s="55"/>
      <x:c r="F17" s="56"/>
      <x:c r="G17" s="54"/>
      <x:c r="H17" s="58"/>
    </x:row>
    <x:row r="18">
      <x:c r="B18" s="54" t="str">
        <x:v>Reserva / ajuste para redondear a meta</x:v>
      </x:c>
      <x:c r="C18" s="57" t="n">
        <x:v>1</x:v>
      </x:c>
      <x:c r="D18" s="55"/>
      <x:c r="E18" s="55" t="n">
        <x:f>MAX(0,$E$21-SUM(E7:E16))</x:f>
        <x:v>10000</x:v>
      </x:c>
      <x:c r="F18" s="56" t="n">
        <x:f>E18/$E$19</x:f>
        <x:v>0.0125</x:v>
      </x:c>
      <x:c r="G18" s="54" t="str">
        <x:v>Media</x:v>
      </x:c>
      <x:c r="H18" s="58" t="str">
        <x:v>Colchon operativo y ajustes de cotizacion</x:v>
      </x:c>
    </x:row>
    <x:row r="19">
      <x:c r="B19" s="36" t="str">
        <x:v>Total requerido</x:v>
      </x:c>
      <x:c r="C19" s="36" t="str"/>
      <x:c r="D19" s="37" t="str"/>
      <x:c r="E19" s="37" t="n">
        <x:f>SUM(E7:E18)</x:f>
        <x:v>800000</x:v>
      </x:c>
      <x:c r="F19" s="38" t="n">
        <x:f>100%</x:f>
        <x:v>1</x:v>
      </x:c>
      <x:c r="G19" s="36"/>
      <x:c r="H19" s="36"/>
    </x:row>
    <x:row r="20">
      <x:c r="B20" s="54"/>
      <x:c r="C20" s="54"/>
      <x:c r="D20" s="55"/>
      <x:c r="E20" s="55"/>
      <x:c r="F20" s="54"/>
      <x:c r="G20" s="54"/>
      <x:c r="H20" s="54"/>
    </x:row>
    <x:row r="21">
      <x:c r="B21" s="39" t="str">
        <x:v>Uso total de fondos de arranque</x:v>
      </x:c>
      <x:c r="C21" s="39" t="str"/>
      <x:c r="D21" s="40" t="str"/>
      <x:c r="E21" s="40" t="n">
        <x:v>800000</x:v>
      </x:c>
      <x:c r="F21" s="39"/>
      <x:c r="G21" s="39"/>
      <x:c r="H21" s="39"/>
    </x:row>
    <x:row r="22">
      <x:c r="B22" s="39" t="str">
        <x:v>Ronda a negociar con socios</x:v>
      </x:c>
      <x:c r="C22" s="39" t="str"/>
      <x:c r="D22" s="40" t="str"/>
      <x:c r="E22" s="40" t="n">
        <x:v>600000</x:v>
      </x:c>
      <x:c r="F22" s="39"/>
      <x:c r="G22" s="39"/>
      <x:c r="H22" s="39"/>
    </x:row>
    <x:row r="23">
      <x:c r="B23" s="39" t="str">
        <x:v>Porcentaje de sociedad para socios</x:v>
      </x:c>
      <x:c r="C23" s="39" t="str"/>
      <x:c r="D23" s="39" t="str"/>
      <x:c r="E23" s="41" t="n">
        <x:v>0.6</x:v>
      </x:c>
      <x:c r="F23" s="39"/>
      <x:c r="G23" s="39"/>
      <x:c r="H23" s="39"/>
    </x:row>
    <x:row r="24">
      <x:c r="B24" s="39" t="str">
        <x:v>Maximo de socios</x:v>
      </x:c>
      <x:c r="C24" s="39" t="str"/>
      <x:c r="D24" s="39" t="str"/>
      <x:c r="E24" s="42" t="n">
        <x:v>3</x:v>
      </x:c>
      <x:c r="F24" s="39"/>
      <x:c r="G24" s="39"/>
      <x:c r="H24" s="39"/>
    </x:row>
    <x:row r="25">
      <x:c r="B25" s="39" t="str">
        <x:v>Ticket sugerido por socio</x:v>
      </x:c>
      <x:c r="C25" s="39" t="str"/>
      <x:c r="D25" s="39" t="str"/>
      <x:c r="E25" s="40" t="n">
        <x:f>E22/E24</x:f>
        <x:v>200000</x:v>
      </x:c>
      <x:c r="F25" s="39"/>
      <x:c r="G25" s="39"/>
      <x:c r="H25" s="39"/>
    </x:row>
    <x:row r="26">
      <x:c r="B26" s="39" t="str">
        <x:v>Porcentaje por socio si entran parejo</x:v>
      </x:c>
      <x:c r="C26" s="39" t="str"/>
      <x:c r="D26" s="39" t="str"/>
      <x:c r="E26" s="41" t="n">
        <x:f>E23/E24</x:f>
        <x:v>0.19999999999999998</x:v>
      </x:c>
      <x:c r="F26" s="39"/>
      <x:c r="G26" s="39"/>
      <x:c r="H26" s="39"/>
    </x:row>
    <x:row r="27">
      <x:c r="B27" s="39" t="str">
        <x:v>Capital fundador / no dilutivo</x:v>
      </x:c>
      <x:c r="C27" s="39" t="str"/>
      <x:c r="D27" s="39" t="str"/>
      <x:c r="E27" s="40" t="n">
        <x:f>E21-E22</x:f>
        <x:v>200000</x:v>
      </x:c>
      <x:c r="F27" s="39"/>
      <x:c r="G27" s="39"/>
      <x:c r="H27" s="39"/>
    </x:row>
  </x:sheetData>
  <x:mergeCells>
    <x:mergeCell ref="B2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2" hidden="0" customWidth="1"/>
    <x:col min="5" max="5" width="48" hidden="0" customWidth="1"/>
    <x:col min="6" max="6" width="30" hidden="0" customWidth="1"/>
    <x:col min="9" max="9" width="42" hidden="0" customWidth="1"/>
  </x:cols>
  <x:sheetData>
    <x:row r="2">
      <x:c r="B2" s="4" t="str">
        <x:v>Experience Safely - Modelo de ingresos por experiencia</x:v>
      </x:c>
      <x:c r="C2" s="4" t="str">
        <x:v>Experience Safely - Modelo de ingresos por experiencia</x:v>
      </x:c>
      <x:c r="D2" s="4" t="str">
        <x:v>Experience Safely - Modelo de ingresos por experiencia</x:v>
      </x:c>
      <x:c r="E2" s="4" t="str">
        <x:v>Experience Safely - Modelo de ingresos por experiencia</x:v>
      </x:c>
      <x:c r="F2" s="4" t="str">
        <x:v>Experience Safely - Modelo de ingresos por experiencia</x:v>
      </x:c>
      <x:c r="G2" s="4" t="str">
        <x:v>Experience Safely - Modelo de ingresos por experiencia</x:v>
      </x:c>
      <x:c r="H2" s="4" t="str">
        <x:v>Experience Safely - Modelo de ingresos por experiencia</x:v>
      </x:c>
      <x:c r="I2" s="4" t="str">
        <x:v>Experience Safely - Modelo de ingresos por experiencia</x:v>
      </x:c>
      <x:c r="J2" s="4" t="str">
        <x:v>Experience Safely - Modelo de ingresos por experiencia</x:v>
      </x:c>
    </x:row>
    <x:row r="3">
      <x:c r="B3" s="4" t="str">
        <x:v>Experience Safely - Modelo de ingresos por experiencia</x:v>
      </x:c>
      <x:c r="C3" s="4" t="str">
        <x:v>Experience Safely - Modelo de ingresos por experiencia</x:v>
      </x:c>
      <x:c r="D3" s="4" t="str">
        <x:v>Experience Safely - Modelo de ingresos por experiencia</x:v>
      </x:c>
      <x:c r="E3" s="4" t="str">
        <x:v>Experience Safely - Modelo de ingresos por experiencia</x:v>
      </x:c>
      <x:c r="F3" s="4" t="str">
        <x:v>Experience Safely - Modelo de ingresos por experiencia</x:v>
      </x:c>
      <x:c r="G3" s="4" t="str">
        <x:v>Experience Safely - Modelo de ingresos por experiencia</x:v>
      </x:c>
      <x:c r="H3" s="4" t="str">
        <x:v>Experience Safely - Modelo de ingresos por experiencia</x:v>
      </x:c>
      <x:c r="I3" s="4" t="str">
        <x:v>Experience Safely - Modelo de ingresos por experiencia</x:v>
      </x:c>
      <x:c r="J3" s="4" t="str">
        <x:v>Experience Safely - Modelo de ingresos por experiencia</x:v>
      </x:c>
    </x:row>
    <x:row r="4">
      <x:c r="B4" s="4" t="str">
        <x:v>Experience Safely - Modelo de ingresos por experiencia</x:v>
      </x:c>
      <x:c r="C4" s="4" t="str">
        <x:v>Experience Safely - Modelo de ingresos por experiencia</x:v>
      </x:c>
      <x:c r="D4" s="4" t="str">
        <x:v>Experience Safely - Modelo de ingresos por experiencia</x:v>
      </x:c>
      <x:c r="E4" s="4" t="str">
        <x:v>Experience Safely - Modelo de ingresos por experiencia</x:v>
      </x:c>
      <x:c r="F4" s="4" t="str">
        <x:v>Experience Safely - Modelo de ingresos por experiencia</x:v>
      </x:c>
      <x:c r="G4" s="4" t="str">
        <x:v>Experience Safely - Modelo de ingresos por experiencia</x:v>
      </x:c>
      <x:c r="H4" s="4" t="str">
        <x:v>Experience Safely - Modelo de ingresos por experiencia</x:v>
      </x:c>
      <x:c r="I4" s="4" t="str">
        <x:v>Experience Safely - Modelo de ingresos por experiencia</x:v>
      </x:c>
      <x:c r="J4" s="4" t="str">
        <x:v>Experience Safely - Modelo de ingresos por experiencia</x:v>
      </x:c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</x:row>
    <x:row r="6">
      <x:c r="B6" s="31" t="str">
        <x:v>Input / driver</x:v>
      </x:c>
      <x:c r="C6" s="31" t="str">
        <x:v>Valor</x:v>
      </x:c>
      <x:c r="D6" s="31" t="str">
        <x:v>Unidad</x:v>
      </x:c>
      <x:c r="E6" s="31" t="str">
        <x:v>Notas</x:v>
      </x:c>
      <x:c r="F6" s="31" t="str"/>
      <x:c r="G6" s="31" t="str">
        <x:v>Resumen</x:v>
      </x:c>
      <x:c r="H6" s="31" t="str">
        <x:v>Valor</x:v>
      </x:c>
      <x:c r="I6" s="31" t="str">
        <x:v>Unidad</x:v>
      </x:c>
      <x:c r="J6" s="31" t="str">
        <x:v>Notas</x:v>
      </x:c>
    </x:row>
    <x:row r="7">
      <x:c r="B7" s="54" t="str">
        <x:v>Experiencias afiliadas iniciales</x:v>
      </x:c>
      <x:c r="C7" s="59" t="n">
        <x:v>40</x:v>
      </x:c>
      <x:c r="D7" s="54" t="str">
        <x:v>experiencias</x:v>
      </x:c>
      <x:c r="E7" s="54" t="str">
        <x:v>Base de experiencias ya en platicas para arrancar</x:v>
      </x:c>
      <x:c r="F7" s="54" t="str">
        <x:v>Experiencias activas</x:v>
      </x:c>
      <x:c r="G7" s="57" t="n">
        <x:f>C7</x:f>
        <x:v>40</x:v>
      </x:c>
      <x:c r="H7" s="54" t="str">
        <x:v>experiencias</x:v>
      </x:c>
      <x:c r="I7" s="54" t="str">
        <x:v>Base inicial</x:v>
      </x:c>
      <x:c r="J7" s="54" t="str"/>
    </x:row>
    <x:row r="8">
      <x:c r="B8" s="54" t="str">
        <x:v>Altas netas mensuales</x:v>
      </x:c>
      <x:c r="C8" s="59" t="n">
        <x:v>6</x:v>
      </x:c>
      <x:c r="D8" s="54" t="str">
        <x:v>experiencias</x:v>
      </x:c>
      <x:c r="E8" s="54" t="str">
        <x:v>Crecimiento comercial esperado</x:v>
      </x:c>
      <x:c r="F8" s="54" t="str">
        <x:v>Clientes diarios</x:v>
      </x:c>
      <x:c r="G8" s="57" t="n">
        <x:f>C9</x:f>
        <x:v>16</x:v>
      </x:c>
      <x:c r="H8" s="54" t="str">
        <x:v>clientes/dia</x:v>
      </x:c>
      <x:c r="I8" s="54" t="str">
        <x:v>Demanda inicial diaria</x:v>
      </x:c>
      <x:c r="J8" s="54" t="str"/>
    </x:row>
    <x:row r="9">
      <x:c r="B9" s="54" t="str">
        <x:v>Clientes diarios iniciales</x:v>
      </x:c>
      <x:c r="C9" s="59" t="n">
        <x:v>16</x:v>
      </x:c>
      <x:c r="D9" s="54" t="str">
        <x:v>clientes/dia</x:v>
      </x:c>
      <x:c r="E9" s="54" t="str">
        <x:v>Clientes usando la plataforma al arranque</x:v>
      </x:c>
      <x:c r="F9" s="54" t="str">
        <x:v>Experiencias por cliente/dia</x:v>
      </x:c>
      <x:c r="G9" s="57" t="n">
        <x:f>C11</x:f>
        <x:v>1</x:v>
      </x:c>
      <x:c r="H9" s="54" t="str">
        <x:v>experiencia</x:v>
      </x:c>
      <x:c r="I9" s="54" t="str">
        <x:v>Uso promedio diario por cliente</x:v>
      </x:c>
      <x:c r="J9" s="54" t="str"/>
    </x:row>
    <x:row r="10">
      <x:c r="B10" s="54" t="str">
        <x:v>Crecimiento mensual de clientes</x:v>
      </x:c>
      <x:c r="C10" s="60" t="n">
        <x:v>0.05</x:v>
      </x:c>
      <x:c r="D10" s="54" t="str">
        <x:v>%</x:v>
      </x:c>
      <x:c r="E10" s="54" t="str">
        <x:v>Aumento mensual esperado por marketing, reputacion y referidos</x:v>
      </x:c>
      <x:c r="F10" s="54" t="str">
        <x:v>Reservas mensuales</x:v>
      </x:c>
      <x:c r="G10" s="57" t="n">
        <x:f>G8*G9*C12</x:f>
        <x:v>480</x:v>
      </x:c>
      <x:c r="H10" s="54" t="str">
        <x:v>reservas</x:v>
      </x:c>
      <x:c r="I10" s="54" t="str">
        <x:v>Clientes diarios x uso diario x dias</x:v>
      </x:c>
      <x:c r="J10" s="54" t="str"/>
    </x:row>
    <x:row r="11">
      <x:c r="B11" s="54" t="str">
        <x:v>Experiencias por cliente por dia</x:v>
      </x:c>
      <x:c r="C11" s="59" t="n">
        <x:v>1</x:v>
      </x:c>
      <x:c r="D11" s="54" t="str">
        <x:v>experiencia</x:v>
      </x:c>
      <x:c r="E11" s="54" t="str">
        <x:v>Un cliente promedio usa una experiencia por dia</x:v>
      </x:c>
      <x:c r="F11" s="54" t="str">
        <x:v>GMV mensual</x:v>
      </x:c>
      <x:c r="G11" s="55" t="n">
        <x:f>G10*C13</x:f>
        <x:v>576000</x:v>
      </x:c>
      <x:c r="H11" s="54" t="str">
        <x:v>MXN</x:v>
      </x:c>
      <x:c r="I11" s="54" t="str">
        <x:v>Valor bruto de ventas</x:v>
      </x:c>
      <x:c r="J11" s="54" t="str"/>
    </x:row>
    <x:row r="12">
      <x:c r="B12" s="54" t="str">
        <x:v>Dias activos por mes</x:v>
      </x:c>
      <x:c r="C12" s="59" t="n">
        <x:v>30</x:v>
      </x:c>
      <x:c r="D12" s="54" t="str">
        <x:v>dias</x:v>
      </x:c>
      <x:c r="E12" s="54" t="str">
        <x:v>Base mensual para convertir clientes diarios a reservas</x:v>
      </x:c>
      <x:c r="F12" s="54" t="str">
        <x:v>Ingreso por comision</x:v>
      </x:c>
      <x:c r="G12" s="55" t="n">
        <x:f>G11*C14</x:f>
        <x:v>86400</x:v>
      </x:c>
      <x:c r="H12" s="54" t="str">
        <x:v>MXN</x:v>
      </x:c>
      <x:c r="I12" s="54" t="str">
        <x:v>15% del GMV</x:v>
      </x:c>
      <x:c r="J12" s="54" t="str"/>
    </x:row>
    <x:row r="13">
      <x:c r="B13" s="54" t="str">
        <x:v>Ticket promedio por reserva</x:v>
      </x:c>
      <x:c r="C13" s="61" t="n">
        <x:v>1200</x:v>
      </x:c>
      <x:c r="D13" s="54" t="str">
        <x:v>MXN</x:v>
      </x:c>
      <x:c r="E13" s="54" t="str">
        <x:v>Precio promedio de una experiencia</x:v>
      </x:c>
      <x:c r="F13" s="54" t="str">
        <x:v>Ingreso fijo mensual</x:v>
      </x:c>
      <x:c r="G13" s="55" t="n">
        <x:f>G7*C15</x:f>
        <x:v>80000</x:v>
      </x:c>
      <x:c r="H13" s="54" t="str">
        <x:v>MXN</x:v>
      </x:c>
      <x:c r="I13" s="54" t="str">
        <x:v>$2,000 por experiencia</x:v>
      </x:c>
      <x:c r="J13" s="54" t="str"/>
    </x:row>
    <x:row r="14">
      <x:c r="B14" s="54" t="str">
        <x:v>Comision Experience Safely</x:v>
      </x:c>
      <x:c r="C14" s="60" t="n">
        <x:v>0.15</x:v>
      </x:c>
      <x:c r="D14" s="54" t="str">
        <x:v>%</x:v>
      </x:c>
      <x:c r="E14" s="54" t="str">
        <x:v>Porcentaje sobre cada venta</x:v>
      </x:c>
      <x:c r="F14" s="39" t="str">
        <x:v>Ingreso mensual total</x:v>
      </x:c>
      <x:c r="G14" s="40" t="n">
        <x:f>G12+G13</x:f>
        <x:v>166400</x:v>
      </x:c>
      <x:c r="H14" s="39" t="str">
        <x:v>MXN</x:v>
      </x:c>
      <x:c r="I14" s="39" t="str">
        <x:v>Comision + pago mensual</x:v>
      </x:c>
      <x:c r="J14" s="39" t="str"/>
    </x:row>
    <x:row r="15">
      <x:c r="B15" s="54" t="str">
        <x:v>Pago mensual por experiencia</x:v>
      </x:c>
      <x:c r="C15" s="61" t="n">
        <x:v>2000</x:v>
      </x:c>
      <x:c r="D15" s="54" t="str">
        <x:v>MXN</x:v>
      </x:c>
      <x:c r="E15" s="54" t="str">
        <x:v>Renta plataforma + mantenimiento + promocion exterior</x:v>
      </x:c>
      <x:c r="F15" s="54" t="str">
        <x:v>Costos variables</x:v>
      </x:c>
      <x:c r="G15" s="55" t="n">
        <x:f>G10*C16+G11*C17</x:f>
        <x:v>28032</x:v>
      </x:c>
      <x:c r="H15" s="54" t="str">
        <x:v>MXN</x:v>
      </x:c>
      <x:c r="I15" s="54" t="str">
        <x:v>Costo por reserva + pagos</x:v>
      </x:c>
      <x:c r="J15" s="54" t="str"/>
    </x:row>
    <x:row r="16">
      <x:c r="B16" s="54" t="str">
        <x:v>Costo variable por reserva</x:v>
      </x:c>
      <x:c r="C16" s="61" t="n">
        <x:v>20</x:v>
      </x:c>
      <x:c r="D16" s="54" t="str">
        <x:v>MXN</x:v>
      </x:c>
      <x:c r="E16" s="54" t="str">
        <x:v>Soporte, conciliacion y operacion por reserva</x:v>
      </x:c>
      <x:c r="F16" s="54" t="str">
        <x:v>Margen contribucion</x:v>
      </x:c>
      <x:c r="G16" s="55" t="n">
        <x:f>G14-G15</x:f>
        <x:v>138368</x:v>
      </x:c>
      <x:c r="H16" s="54" t="str">
        <x:v>MXN</x:v>
      </x:c>
      <x:c r="I16" s="54" t="str">
        <x:v>Antes de costos fijos</x:v>
      </x:c>
      <x:c r="J16" s="54" t="str"/>
    </x:row>
    <x:row r="17">
      <x:c r="B17" s="54" t="str">
        <x:v>Procesamiento pagos</x:v>
      </x:c>
      <x:c r="C17" s="60" t="n">
        <x:v>0.032</x:v>
      </x:c>
      <x:c r="D17" s="54" t="str">
        <x:v>% GMV</x:v>
      </x:c>
      <x:c r="E17" s="54" t="str">
        <x:v>Costo estimado de pasarela</x:v>
      </x:c>
      <x:c r="F17" s="54"/>
      <x:c r="G17" s="54"/>
      <x:c r="H17" s="54"/>
      <x:c r="I17" s="54"/>
      <x:c r="J17" s="54"/>
    </x:row>
  </x:sheetData>
  <x:mergeCells>
    <x:mergeCell ref="B2:J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2">
      <x:c r="B2" s="4" t="str">
        <x:v>Experience Safely - Proyeccion 24 meses</x:v>
      </x:c>
      <x:c r="C2" s="4" t="str">
        <x:v>Experience Safely - Proyeccion 24 meses</x:v>
      </x:c>
      <x:c r="D2" s="4" t="str">
        <x:v>Experience Safely - Proyeccion 24 meses</x:v>
      </x:c>
      <x:c r="E2" s="4" t="str">
        <x:v>Experience Safely - Proyeccion 24 meses</x:v>
      </x:c>
      <x:c r="F2" s="4" t="str">
        <x:v>Experience Safely - Proyeccion 24 meses</x:v>
      </x:c>
      <x:c r="G2" s="4" t="str">
        <x:v>Experience Safely - Proyeccion 24 meses</x:v>
      </x:c>
      <x:c r="H2" s="4" t="str">
        <x:v>Experience Safely - Proyeccion 24 meses</x:v>
      </x:c>
      <x:c r="I2" s="4" t="str">
        <x:v>Experience Safely - Proyeccion 24 meses</x:v>
      </x:c>
      <x:c r="J2" s="4" t="str">
        <x:v>Experience Safely - Proyeccion 24 meses</x:v>
      </x:c>
      <x:c r="K2" s="4" t="str">
        <x:v>Experience Safely - Proyeccion 24 meses</x:v>
      </x:c>
      <x:c r="L2" s="4" t="str">
        <x:v>Experience Safely - Proyeccion 24 meses</x:v>
      </x:c>
      <x:c r="M2" s="4" t="str">
        <x:v>Experience Safely - Proyeccion 24 meses</x:v>
      </x:c>
      <x:c r="N2" s="4" t="str">
        <x:v>Experience Safely - Proyeccion 24 meses</x:v>
      </x:c>
      <x:c r="O2" s="4" t="str">
        <x:v>Experience Safely - Proyeccion 24 meses</x:v>
      </x:c>
      <x:c r="P2" s="4" t="str">
        <x:v>Experience Safely - Proyeccion 24 meses</x:v>
      </x:c>
      <x:c r="Q2" s="4" t="str">
        <x:v>Experience Safely - Proyeccion 24 meses</x:v>
      </x:c>
      <x:c r="R2" s="4" t="str">
        <x:v>Experience Safely - Proyeccion 24 meses</x:v>
      </x:c>
      <x:c r="S2" s="4" t="str">
        <x:v>Experience Safely - Proyeccion 24 meses</x:v>
      </x:c>
      <x:c r="T2" s="4" t="str">
        <x:v>Experience Safely - Proyeccion 24 meses</x:v>
      </x:c>
      <x:c r="U2" s="4" t="str">
        <x:v>Experience Safely - Proyeccion 24 meses</x:v>
      </x:c>
      <x:c r="V2" s="4" t="str">
        <x:v>Experience Safely - Proyeccion 24 meses</x:v>
      </x:c>
      <x:c r="W2" s="4" t="str">
        <x:v>Experience Safely - Proyeccion 24 meses</x:v>
      </x:c>
      <x:c r="X2" s="4" t="str">
        <x:v>Experience Safely - Proyeccion 24 meses</x:v>
      </x:c>
      <x:c r="Y2" s="4" t="str">
        <x:v>Experience Safely - Proyeccion 24 meses</x:v>
      </x:c>
      <x:c r="Z2" s="4" t="str">
        <x:v>Experience Safely - Proyeccion 24 meses</x:v>
      </x:c>
    </x:row>
    <x:row r="3">
      <x:c r="B3" s="4" t="str">
        <x:v>Experience Safely - Proyeccion 24 meses</x:v>
      </x:c>
      <x:c r="C3" s="4" t="str">
        <x:v>Experience Safely - Proyeccion 24 meses</x:v>
      </x:c>
      <x:c r="D3" s="4" t="str">
        <x:v>Experience Safely - Proyeccion 24 meses</x:v>
      </x:c>
      <x:c r="E3" s="4" t="str">
        <x:v>Experience Safely - Proyeccion 24 meses</x:v>
      </x:c>
      <x:c r="F3" s="4" t="str">
        <x:v>Experience Safely - Proyeccion 24 meses</x:v>
      </x:c>
      <x:c r="G3" s="4" t="str">
        <x:v>Experience Safely - Proyeccion 24 meses</x:v>
      </x:c>
      <x:c r="H3" s="4" t="str">
        <x:v>Experience Safely - Proyeccion 24 meses</x:v>
      </x:c>
      <x:c r="I3" s="4" t="str">
        <x:v>Experience Safely - Proyeccion 24 meses</x:v>
      </x:c>
      <x:c r="J3" s="4" t="str">
        <x:v>Experience Safely - Proyeccion 24 meses</x:v>
      </x:c>
      <x:c r="K3" s="4" t="str">
        <x:v>Experience Safely - Proyeccion 24 meses</x:v>
      </x:c>
      <x:c r="L3" s="4" t="str">
        <x:v>Experience Safely - Proyeccion 24 meses</x:v>
      </x:c>
      <x:c r="M3" s="4" t="str">
        <x:v>Experience Safely - Proyeccion 24 meses</x:v>
      </x:c>
      <x:c r="N3" s="4" t="str">
        <x:v>Experience Safely - Proyeccion 24 meses</x:v>
      </x:c>
      <x:c r="O3" s="4" t="str">
        <x:v>Experience Safely - Proyeccion 24 meses</x:v>
      </x:c>
      <x:c r="P3" s="4" t="str">
        <x:v>Experience Safely - Proyeccion 24 meses</x:v>
      </x:c>
      <x:c r="Q3" s="4" t="str">
        <x:v>Experience Safely - Proyeccion 24 meses</x:v>
      </x:c>
      <x:c r="R3" s="4" t="str">
        <x:v>Experience Safely - Proyeccion 24 meses</x:v>
      </x:c>
      <x:c r="S3" s="4" t="str">
        <x:v>Experience Safely - Proyeccion 24 meses</x:v>
      </x:c>
      <x:c r="T3" s="4" t="str">
        <x:v>Experience Safely - Proyeccion 24 meses</x:v>
      </x:c>
      <x:c r="U3" s="4" t="str">
        <x:v>Experience Safely - Proyeccion 24 meses</x:v>
      </x:c>
      <x:c r="V3" s="4" t="str">
        <x:v>Experience Safely - Proyeccion 24 meses</x:v>
      </x:c>
      <x:c r="W3" s="4" t="str">
        <x:v>Experience Safely - Proyeccion 24 meses</x:v>
      </x:c>
      <x:c r="X3" s="4" t="str">
        <x:v>Experience Safely - Proyeccion 24 meses</x:v>
      </x:c>
      <x:c r="Y3" s="4" t="str">
        <x:v>Experience Safely - Proyeccion 24 meses</x:v>
      </x:c>
      <x:c r="Z3" s="4" t="str">
        <x:v>Experience Safely - Proyeccion 24 meses</x:v>
      </x:c>
    </x:row>
    <x:row r="4">
      <x:c r="B4" s="4" t="str">
        <x:v>Experience Safely - Proyeccion 24 meses</x:v>
      </x:c>
      <x:c r="C4" s="4" t="str">
        <x:v>Experience Safely - Proyeccion 24 meses</x:v>
      </x:c>
      <x:c r="D4" s="4" t="str">
        <x:v>Experience Safely - Proyeccion 24 meses</x:v>
      </x:c>
      <x:c r="E4" s="4" t="str">
        <x:v>Experience Safely - Proyeccion 24 meses</x:v>
      </x:c>
      <x:c r="F4" s="4" t="str">
        <x:v>Experience Safely - Proyeccion 24 meses</x:v>
      </x:c>
      <x:c r="G4" s="4" t="str">
        <x:v>Experience Safely - Proyeccion 24 meses</x:v>
      </x:c>
      <x:c r="H4" s="4" t="str">
        <x:v>Experience Safely - Proyeccion 24 meses</x:v>
      </x:c>
      <x:c r="I4" s="4" t="str">
        <x:v>Experience Safely - Proyeccion 24 meses</x:v>
      </x:c>
      <x:c r="J4" s="4" t="str">
        <x:v>Experience Safely - Proyeccion 24 meses</x:v>
      </x:c>
      <x:c r="K4" s="4" t="str">
        <x:v>Experience Safely - Proyeccion 24 meses</x:v>
      </x:c>
      <x:c r="L4" s="4" t="str">
        <x:v>Experience Safely - Proyeccion 24 meses</x:v>
      </x:c>
      <x:c r="M4" s="4" t="str">
        <x:v>Experience Safely - Proyeccion 24 meses</x:v>
      </x:c>
      <x:c r="N4" s="4" t="str">
        <x:v>Experience Safely - Proyeccion 24 meses</x:v>
      </x:c>
      <x:c r="O4" s="4" t="str">
        <x:v>Experience Safely - Proyeccion 24 meses</x:v>
      </x:c>
      <x:c r="P4" s="4" t="str">
        <x:v>Experience Safely - Proyeccion 24 meses</x:v>
      </x:c>
      <x:c r="Q4" s="4" t="str">
        <x:v>Experience Safely - Proyeccion 24 meses</x:v>
      </x:c>
      <x:c r="R4" s="4" t="str">
        <x:v>Experience Safely - Proyeccion 24 meses</x:v>
      </x:c>
      <x:c r="S4" s="4" t="str">
        <x:v>Experience Safely - Proyeccion 24 meses</x:v>
      </x:c>
      <x:c r="T4" s="4" t="str">
        <x:v>Experience Safely - Proyeccion 24 meses</x:v>
      </x:c>
      <x:c r="U4" s="4" t="str">
        <x:v>Experience Safely - Proyeccion 24 meses</x:v>
      </x:c>
      <x:c r="V4" s="4" t="str">
        <x:v>Experience Safely - Proyeccion 24 meses</x:v>
      </x:c>
      <x:c r="W4" s="4" t="str">
        <x:v>Experience Safely - Proyeccion 24 meses</x:v>
      </x:c>
      <x:c r="X4" s="4" t="str">
        <x:v>Experience Safely - Proyeccion 24 meses</x:v>
      </x:c>
      <x:c r="Y4" s="4" t="str">
        <x:v>Experience Safely - Proyeccion 24 meses</x:v>
      </x:c>
      <x:c r="Z4" s="4" t="str">
        <x:v>Experience Safely - Proyeccion 24 meses</x:v>
      </x:c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B6" s="31" t="str">
        <x:v>Concepto</x:v>
      </x:c>
      <x:c r="C6" s="31" t="str">
        <x:v>Mes 1</x:v>
      </x:c>
      <x:c r="D6" s="31" t="str">
        <x:v>Mes 2</x:v>
      </x:c>
      <x:c r="E6" s="31" t="str">
        <x:v>Mes 3</x:v>
      </x:c>
      <x:c r="F6" s="31" t="str">
        <x:v>Mes 4</x:v>
      </x:c>
      <x:c r="G6" s="31" t="str">
        <x:v>Mes 5</x:v>
      </x:c>
      <x:c r="H6" s="31" t="str">
        <x:v>Mes 6</x:v>
      </x:c>
      <x:c r="I6" s="31" t="str">
        <x:v>Mes 7</x:v>
      </x:c>
      <x:c r="J6" s="31" t="str">
        <x:v>Mes 8</x:v>
      </x:c>
      <x:c r="K6" s="31" t="str">
        <x:v>Mes 9</x:v>
      </x:c>
      <x:c r="L6" s="31" t="str">
        <x:v>Mes 10</x:v>
      </x:c>
      <x:c r="M6" s="31" t="str">
        <x:v>Mes 11</x:v>
      </x:c>
      <x:c r="N6" s="31" t="str">
        <x:v>Mes 12</x:v>
      </x:c>
      <x:c r="O6" s="31" t="str">
        <x:v>Mes 13</x:v>
      </x:c>
      <x:c r="P6" s="31" t="str">
        <x:v>Mes 14</x:v>
      </x:c>
      <x:c r="Q6" s="31" t="str">
        <x:v>Mes 15</x:v>
      </x:c>
      <x:c r="R6" s="31" t="str">
        <x:v>Mes 16</x:v>
      </x:c>
      <x:c r="S6" s="31" t="str">
        <x:v>Mes 17</x:v>
      </x:c>
      <x:c r="T6" s="31" t="str">
        <x:v>Mes 18</x:v>
      </x:c>
      <x:c r="U6" s="31" t="str">
        <x:v>Mes 19</x:v>
      </x:c>
      <x:c r="V6" s="31" t="str">
        <x:v>Mes 20</x:v>
      </x:c>
      <x:c r="W6" s="31" t="str">
        <x:v>Mes 21</x:v>
      </x:c>
      <x:c r="X6" s="31" t="str">
        <x:v>Mes 22</x:v>
      </x:c>
      <x:c r="Y6" s="31" t="str">
        <x:v>Mes 23</x:v>
      </x:c>
      <x:c r="Z6" s="31" t="str">
        <x:v>Mes 24</x:v>
      </x:c>
    </x:row>
    <x:row r="7">
      <x:c r="B7" s="54" t="str">
        <x:v>Experiencias activas</x:v>
      </x:c>
      <x:c r="C7" s="57" t="n">
        <x:f>IF(COLUMN()=3,'Modelo ingresos'!$C$7,B7+'Modelo ingresos'!$C$8)</x:f>
        <x:v>40</x:v>
      </x:c>
      <x:c r="D7" s="57" t="n">
        <x:f>IF(COLUMN()=3,'Modelo ingresos'!$C$7,C7+'Modelo ingresos'!$C$8)</x:f>
        <x:v>46</x:v>
      </x:c>
      <x:c r="E7" s="57" t="n">
        <x:f>IF(COLUMN()=3,'Modelo ingresos'!$C$7,D7+'Modelo ingresos'!$C$8)</x:f>
        <x:v>52</x:v>
      </x:c>
      <x:c r="F7" s="57" t="n">
        <x:f>IF(COLUMN()=3,'Modelo ingresos'!$C$7,E7+'Modelo ingresos'!$C$8)</x:f>
        <x:v>58</x:v>
      </x:c>
      <x:c r="G7" s="57" t="n">
        <x:f>IF(COLUMN()=3,'Modelo ingresos'!$C$7,F7+'Modelo ingresos'!$C$8)</x:f>
        <x:v>64</x:v>
      </x:c>
      <x:c r="H7" s="57" t="n">
        <x:f>IF(COLUMN()=3,'Modelo ingresos'!$C$7,G7+'Modelo ingresos'!$C$8)</x:f>
        <x:v>70</x:v>
      </x:c>
      <x:c r="I7" s="57" t="n">
        <x:f>IF(COLUMN()=3,'Modelo ingresos'!$C$7,H7+'Modelo ingresos'!$C$8)</x:f>
        <x:v>76</x:v>
      </x:c>
      <x:c r="J7" s="57" t="n">
        <x:f>IF(COLUMN()=3,'Modelo ingresos'!$C$7,I7+'Modelo ingresos'!$C$8)</x:f>
        <x:v>82</x:v>
      </x:c>
      <x:c r="K7" s="57" t="n">
        <x:f>IF(COLUMN()=3,'Modelo ingresos'!$C$7,J7+'Modelo ingresos'!$C$8)</x:f>
        <x:v>88</x:v>
      </x:c>
      <x:c r="L7" s="57" t="n">
        <x:f>IF(COLUMN()=3,'Modelo ingresos'!$C$7,K7+'Modelo ingresos'!$C$8)</x:f>
        <x:v>94</x:v>
      </x:c>
      <x:c r="M7" s="57" t="n">
        <x:f>IF(COLUMN()=3,'Modelo ingresos'!$C$7,L7+'Modelo ingresos'!$C$8)</x:f>
        <x:v>100</x:v>
      </x:c>
      <x:c r="N7" s="57" t="n">
        <x:f>IF(COLUMN()=3,'Modelo ingresos'!$C$7,M7+'Modelo ingresos'!$C$8)</x:f>
        <x:v>106</x:v>
      </x:c>
      <x:c r="O7" s="57" t="n">
        <x:f>IF(COLUMN()=3,'Modelo ingresos'!$C$7,N7+'Modelo ingresos'!$C$8)</x:f>
        <x:v>112</x:v>
      </x:c>
      <x:c r="P7" s="57" t="n">
        <x:f>IF(COLUMN()=3,'Modelo ingresos'!$C$7,O7+'Modelo ingresos'!$C$8)</x:f>
        <x:v>118</x:v>
      </x:c>
      <x:c r="Q7" s="57" t="n">
        <x:f>IF(COLUMN()=3,'Modelo ingresos'!$C$7,P7+'Modelo ingresos'!$C$8)</x:f>
        <x:v>124</x:v>
      </x:c>
      <x:c r="R7" s="57" t="n">
        <x:f>IF(COLUMN()=3,'Modelo ingresos'!$C$7,Q7+'Modelo ingresos'!$C$8)</x:f>
        <x:v>130</x:v>
      </x:c>
      <x:c r="S7" s="57" t="n">
        <x:f>IF(COLUMN()=3,'Modelo ingresos'!$C$7,R7+'Modelo ingresos'!$C$8)</x:f>
        <x:v>136</x:v>
      </x:c>
      <x:c r="T7" s="57" t="n">
        <x:f>IF(COLUMN()=3,'Modelo ingresos'!$C$7,S7+'Modelo ingresos'!$C$8)</x:f>
        <x:v>142</x:v>
      </x:c>
      <x:c r="U7" s="57" t="n">
        <x:f>IF(COLUMN()=3,'Modelo ingresos'!$C$7,T7+'Modelo ingresos'!$C$8)</x:f>
        <x:v>148</x:v>
      </x:c>
      <x:c r="V7" s="57" t="n">
        <x:f>IF(COLUMN()=3,'Modelo ingresos'!$C$7,U7+'Modelo ingresos'!$C$8)</x:f>
        <x:v>154</x:v>
      </x:c>
      <x:c r="W7" s="57" t="n">
        <x:f>IF(COLUMN()=3,'Modelo ingresos'!$C$7,V7+'Modelo ingresos'!$C$8)</x:f>
        <x:v>160</x:v>
      </x:c>
      <x:c r="X7" s="57" t="n">
        <x:f>IF(COLUMN()=3,'Modelo ingresos'!$C$7,W7+'Modelo ingresos'!$C$8)</x:f>
        <x:v>166</x:v>
      </x:c>
      <x:c r="Y7" s="57" t="n">
        <x:f>IF(COLUMN()=3,'Modelo ingresos'!$C$7,X7+'Modelo ingresos'!$C$8)</x:f>
        <x:v>172</x:v>
      </x:c>
      <x:c r="Z7" s="57" t="n">
        <x:f>IF(COLUMN()=3,'Modelo ingresos'!$C$7,Y7+'Modelo ingresos'!$C$8)</x:f>
        <x:v>178</x:v>
      </x:c>
    </x:row>
    <x:row r="8">
      <x:c r="B8" s="54" t="str">
        <x:v>Clientes diarios</x:v>
      </x:c>
      <x:c r="C8" s="57" t="n">
        <x:f>IF(COLUMN()=3,'Modelo ingresos'!$C$9,B8*(1+'Modelo ingresos'!$C$10))</x:f>
        <x:v>16</x:v>
      </x:c>
      <x:c r="D8" s="57" t="n">
        <x:f>IF(COLUMN()=3,'Modelo ingresos'!$C$9,C8*(1+'Modelo ingresos'!$C$10))</x:f>
        <x:v>16.8</x:v>
      </x:c>
      <x:c r="E8" s="57" t="n">
        <x:f>IF(COLUMN()=3,'Modelo ingresos'!$C$9,D8*(1+'Modelo ingresos'!$C$10))</x:f>
        <x:v>17.64</x:v>
      </x:c>
      <x:c r="F8" s="57" t="n">
        <x:f>IF(COLUMN()=3,'Modelo ingresos'!$C$9,E8*(1+'Modelo ingresos'!$C$10))</x:f>
        <x:v>18.522000000000002</x:v>
      </x:c>
      <x:c r="G8" s="57" t="n">
        <x:f>IF(COLUMN()=3,'Modelo ingresos'!$C$9,F8*(1+'Modelo ingresos'!$C$10))</x:f>
        <x:v>19.448100000000004</x:v>
      </x:c>
      <x:c r="H8" s="57" t="n">
        <x:f>IF(COLUMN()=3,'Modelo ingresos'!$C$9,G8*(1+'Modelo ingresos'!$C$10))</x:f>
        <x:v>20.420505000000006</x:v>
      </x:c>
      <x:c r="I8" s="57" t="n">
        <x:f>IF(COLUMN()=3,'Modelo ingresos'!$C$9,H8*(1+'Modelo ingresos'!$C$10))</x:f>
        <x:v>21.441530250000007</x:v>
      </x:c>
      <x:c r="J8" s="57" t="n">
        <x:f>IF(COLUMN()=3,'Modelo ingresos'!$C$9,I8*(1+'Modelo ingresos'!$C$10))</x:f>
        <x:v>22.513606762500007</x:v>
      </x:c>
      <x:c r="K8" s="57" t="n">
        <x:f>IF(COLUMN()=3,'Modelo ingresos'!$C$9,J8*(1+'Modelo ingresos'!$C$10))</x:f>
        <x:v>23.63928710062501</x:v>
      </x:c>
      <x:c r="L8" s="57" t="n">
        <x:f>IF(COLUMN()=3,'Modelo ingresos'!$C$9,K8*(1+'Modelo ingresos'!$C$10))</x:f>
        <x:v>24.82125145565626</x:v>
      </x:c>
      <x:c r="M8" s="57" t="n">
        <x:f>IF(COLUMN()=3,'Modelo ingresos'!$C$9,L8*(1+'Modelo ingresos'!$C$10))</x:f>
        <x:v>26.062314028439072</x:v>
      </x:c>
      <x:c r="N8" s="57" t="n">
        <x:f>IF(COLUMN()=3,'Modelo ingresos'!$C$9,M8*(1+'Modelo ingresos'!$C$10))</x:f>
        <x:v>27.365429729861027</x:v>
      </x:c>
      <x:c r="O8" s="57" t="n">
        <x:f>IF(COLUMN()=3,'Modelo ingresos'!$C$9,N8*(1+'Modelo ingresos'!$C$10))</x:f>
        <x:v>28.73370121635408</x:v>
      </x:c>
      <x:c r="P8" s="57" t="n">
        <x:f>IF(COLUMN()=3,'Modelo ingresos'!$C$9,O8*(1+'Modelo ingresos'!$C$10))</x:f>
        <x:v>30.170386277171787</x:v>
      </x:c>
      <x:c r="Q8" s="57" t="n">
        <x:f>IF(COLUMN()=3,'Modelo ingresos'!$C$9,P8*(1+'Modelo ingresos'!$C$10))</x:f>
        <x:v>31.67890559103038</x:v>
      </x:c>
      <x:c r="R8" s="57" t="n">
        <x:f>IF(COLUMN()=3,'Modelo ingresos'!$C$9,Q8*(1+'Modelo ingresos'!$C$10))</x:f>
        <x:v>33.2628508705819</x:v>
      </x:c>
      <x:c r="S8" s="57" t="n">
        <x:f>IF(COLUMN()=3,'Modelo ingresos'!$C$9,R8*(1+'Modelo ingresos'!$C$10))</x:f>
        <x:v>34.925993414111</x:v>
      </x:c>
      <x:c r="T8" s="57" t="n">
        <x:f>IF(COLUMN()=3,'Modelo ingresos'!$C$9,S8*(1+'Modelo ingresos'!$C$10))</x:f>
        <x:v>36.67229308481655</x:v>
      </x:c>
      <x:c r="U8" s="57" t="n">
        <x:f>IF(COLUMN()=3,'Modelo ingresos'!$C$9,T8*(1+'Modelo ingresos'!$C$10))</x:f>
        <x:v>38.50590773905738</x:v>
      </x:c>
      <x:c r="V8" s="57" t="n">
        <x:f>IF(COLUMN()=3,'Modelo ingresos'!$C$9,U8*(1+'Modelo ingresos'!$C$10))</x:f>
        <x:v>40.431203126010246</x:v>
      </x:c>
      <x:c r="W8" s="57" t="n">
        <x:f>IF(COLUMN()=3,'Modelo ingresos'!$C$9,V8*(1+'Modelo ingresos'!$C$10))</x:f>
        <x:v>42.45276328231076</x:v>
      </x:c>
      <x:c r="X8" s="57" t="n">
        <x:f>IF(COLUMN()=3,'Modelo ingresos'!$C$9,W8*(1+'Modelo ingresos'!$C$10))</x:f>
        <x:v>44.575401446426305</x:v>
      </x:c>
      <x:c r="Y8" s="57" t="n">
        <x:f>IF(COLUMN()=3,'Modelo ingresos'!$C$9,X8*(1+'Modelo ingresos'!$C$10))</x:f>
        <x:v>46.80417151874762</x:v>
      </x:c>
      <x:c r="Z8" s="57" t="n">
        <x:f>IF(COLUMN()=3,'Modelo ingresos'!$C$9,Y8*(1+'Modelo ingresos'!$C$10))</x:f>
        <x:v>49.144380094685005</x:v>
      </x:c>
    </x:row>
    <x:row r="9">
      <x:c r="B9" s="54" t="str">
        <x:v>Experiencias por cliente/dia</x:v>
      </x:c>
      <x:c r="C9" s="57" t="n">
        <x:f>'Modelo ingresos'!$C$11</x:f>
        <x:v>1</x:v>
      </x:c>
      <x:c r="D9" s="57" t="n">
        <x:f>'Modelo ingresos'!$C$11</x:f>
        <x:v>1</x:v>
      </x:c>
      <x:c r="E9" s="57" t="n">
        <x:f>'Modelo ingresos'!$C$11</x:f>
        <x:v>1</x:v>
      </x:c>
      <x:c r="F9" s="57" t="n">
        <x:f>'Modelo ingresos'!$C$11</x:f>
        <x:v>1</x:v>
      </x:c>
      <x:c r="G9" s="57" t="n">
        <x:f>'Modelo ingresos'!$C$11</x:f>
        <x:v>1</x:v>
      </x:c>
      <x:c r="H9" s="57" t="n">
        <x:f>'Modelo ingresos'!$C$11</x:f>
        <x:v>1</x:v>
      </x:c>
      <x:c r="I9" s="57" t="n">
        <x:f>'Modelo ingresos'!$C$11</x:f>
        <x:v>1</x:v>
      </x:c>
      <x:c r="J9" s="57" t="n">
        <x:f>'Modelo ingresos'!$C$11</x:f>
        <x:v>1</x:v>
      </x:c>
      <x:c r="K9" s="57" t="n">
        <x:f>'Modelo ingresos'!$C$11</x:f>
        <x:v>1</x:v>
      </x:c>
      <x:c r="L9" s="57" t="n">
        <x:f>'Modelo ingresos'!$C$11</x:f>
        <x:v>1</x:v>
      </x:c>
      <x:c r="M9" s="57" t="n">
        <x:f>'Modelo ingresos'!$C$11</x:f>
        <x:v>1</x:v>
      </x:c>
      <x:c r="N9" s="57" t="n">
        <x:f>'Modelo ingresos'!$C$11</x:f>
        <x:v>1</x:v>
      </x:c>
      <x:c r="O9" s="57" t="n">
        <x:f>'Modelo ingresos'!$C$11</x:f>
        <x:v>1</x:v>
      </x:c>
      <x:c r="P9" s="57" t="n">
        <x:f>'Modelo ingresos'!$C$11</x:f>
        <x:v>1</x:v>
      </x:c>
      <x:c r="Q9" s="57" t="n">
        <x:f>'Modelo ingresos'!$C$11</x:f>
        <x:v>1</x:v>
      </x:c>
      <x:c r="R9" s="57" t="n">
        <x:f>'Modelo ingresos'!$C$11</x:f>
        <x:v>1</x:v>
      </x:c>
      <x:c r="S9" s="57" t="n">
        <x:f>'Modelo ingresos'!$C$11</x:f>
        <x:v>1</x:v>
      </x:c>
      <x:c r="T9" s="57" t="n">
        <x:f>'Modelo ingresos'!$C$11</x:f>
        <x:v>1</x:v>
      </x:c>
      <x:c r="U9" s="57" t="n">
        <x:f>'Modelo ingresos'!$C$11</x:f>
        <x:v>1</x:v>
      </x:c>
      <x:c r="V9" s="57" t="n">
        <x:f>'Modelo ingresos'!$C$11</x:f>
        <x:v>1</x:v>
      </x:c>
      <x:c r="W9" s="57" t="n">
        <x:f>'Modelo ingresos'!$C$11</x:f>
        <x:v>1</x:v>
      </x:c>
      <x:c r="X9" s="57" t="n">
        <x:f>'Modelo ingresos'!$C$11</x:f>
        <x:v>1</x:v>
      </x:c>
      <x:c r="Y9" s="57" t="n">
        <x:f>'Modelo ingresos'!$C$11</x:f>
        <x:v>1</x:v>
      </x:c>
      <x:c r="Z9" s="57" t="n">
        <x:f>'Modelo ingresos'!$C$11</x:f>
        <x:v>1</x:v>
      </x:c>
    </x:row>
    <x:row r="10">
      <x:c r="B10" s="54" t="str">
        <x:v>Reservas mensuales</x:v>
      </x:c>
      <x:c r="C10" s="57" t="n">
        <x:f>C8*C9*'Modelo ingresos'!$C$12</x:f>
        <x:v>480</x:v>
      </x:c>
      <x:c r="D10" s="57" t="n">
        <x:f>D8*D9*'Modelo ingresos'!$C$12</x:f>
        <x:v>504</x:v>
      </x:c>
      <x:c r="E10" s="57" t="n">
        <x:f>E8*E9*'Modelo ingresos'!$C$12</x:f>
        <x:v>529.2</x:v>
      </x:c>
      <x:c r="F10" s="57" t="n">
        <x:f>F8*F9*'Modelo ingresos'!$C$12</x:f>
        <x:v>555.6600000000001</x:v>
      </x:c>
      <x:c r="G10" s="57" t="n">
        <x:f>G8*G9*'Modelo ingresos'!$C$12</x:f>
        <x:v>583.4430000000001</x:v>
      </x:c>
      <x:c r="H10" s="57" t="n">
        <x:f>H8*H9*'Modelo ingresos'!$C$12</x:f>
        <x:v>612.6151500000002</x:v>
      </x:c>
      <x:c r="I10" s="57" t="n">
        <x:f>I8*I9*'Modelo ingresos'!$C$12</x:f>
        <x:v>643.2459075000002</x:v>
      </x:c>
      <x:c r="J10" s="57" t="n">
        <x:f>J8*J9*'Modelo ingresos'!$C$12</x:f>
        <x:v>675.4082028750003</x:v>
      </x:c>
      <x:c r="K10" s="57" t="n">
        <x:f>K8*K9*'Modelo ingresos'!$C$12</x:f>
        <x:v>709.1786130187503</x:v>
      </x:c>
      <x:c r="L10" s="57" t="n">
        <x:f>L8*L9*'Modelo ingresos'!$C$12</x:f>
        <x:v>744.6375436696878</x:v>
      </x:c>
      <x:c r="M10" s="57" t="n">
        <x:f>M8*M9*'Modelo ingresos'!$C$12</x:f>
        <x:v>781.8694208531722</x:v>
      </x:c>
      <x:c r="N10" s="57" t="n">
        <x:f>N8*N9*'Modelo ingresos'!$C$12</x:f>
        <x:v>820.9628918958308</x:v>
      </x:c>
      <x:c r="O10" s="57" t="n">
        <x:f>O8*O9*'Modelo ingresos'!$C$12</x:f>
        <x:v>862.0110364906225</x:v>
      </x:c>
      <x:c r="P10" s="57" t="n">
        <x:f>P8*P9*'Modelo ingresos'!$C$12</x:f>
        <x:v>905.1115883151535</x:v>
      </x:c>
      <x:c r="Q10" s="57" t="n">
        <x:f>Q8*Q9*'Modelo ingresos'!$C$12</x:f>
        <x:v>950.3671677309113</x:v>
      </x:c>
      <x:c r="R10" s="57" t="n">
        <x:f>R8*R9*'Modelo ingresos'!$C$12</x:f>
        <x:v>997.885526117457</x:v>
      </x:c>
      <x:c r="S10" s="57" t="n">
        <x:f>S8*S9*'Modelo ingresos'!$C$12</x:f>
        <x:v>1047.77980242333</x:v>
      </x:c>
      <x:c r="T10" s="57" t="n">
        <x:f>T8*T9*'Modelo ingresos'!$C$12</x:f>
        <x:v>1100.1687925444965</x:v>
      </x:c>
      <x:c r="U10" s="57" t="n">
        <x:f>U8*U9*'Modelo ingresos'!$C$12</x:f>
        <x:v>1155.1772321717212</x:v>
      </x:c>
      <x:c r="V10" s="57" t="n">
        <x:f>V8*V9*'Modelo ingresos'!$C$12</x:f>
        <x:v>1212.9360937803074</x:v>
      </x:c>
      <x:c r="W10" s="57" t="n">
        <x:f>W8*W9*'Modelo ingresos'!$C$12</x:f>
        <x:v>1273.5828984693228</x:v>
      </x:c>
      <x:c r="X10" s="57" t="n">
        <x:f>X8*X9*'Modelo ingresos'!$C$12</x:f>
        <x:v>1337.262043392789</x:v>
      </x:c>
      <x:c r="Y10" s="57" t="n">
        <x:f>Y8*Y9*'Modelo ingresos'!$C$12</x:f>
        <x:v>1404.1251455624288</x:v>
      </x:c>
      <x:c r="Z10" s="57" t="n">
        <x:f>Z8*Z9*'Modelo ingresos'!$C$12</x:f>
        <x:v>1474.3314028405503</x:v>
      </x:c>
    </x:row>
    <x:row r="11">
      <x:c r="B11" s="54" t="str">
        <x:v>GMV mensual</x:v>
      </x:c>
      <x:c r="C11" s="55" t="n">
        <x:f>C10*'Modelo ingresos'!$C$13</x:f>
        <x:v>576000</x:v>
      </x:c>
      <x:c r="D11" s="55" t="n">
        <x:f>D10*'Modelo ingresos'!$C$13</x:f>
        <x:v>604800</x:v>
      </x:c>
      <x:c r="E11" s="55" t="n">
        <x:f>E10*'Modelo ingresos'!$C$13</x:f>
        <x:v>635040</x:v>
      </x:c>
      <x:c r="F11" s="55" t="n">
        <x:f>F10*'Modelo ingresos'!$C$13</x:f>
        <x:v>666792.0000000001</x:v>
      </x:c>
      <x:c r="G11" s="55" t="n">
        <x:f>G10*'Modelo ingresos'!$C$13</x:f>
        <x:v>700131.6000000001</x:v>
      </x:c>
      <x:c r="H11" s="55" t="n">
        <x:f>H10*'Modelo ingresos'!$C$13</x:f>
        <x:v>735138.1800000003</x:v>
      </x:c>
      <x:c r="I11" s="55" t="n">
        <x:f>I10*'Modelo ingresos'!$C$13</x:f>
        <x:v>771895.0890000002</x:v>
      </x:c>
      <x:c r="J11" s="55" t="n">
        <x:f>J10*'Modelo ingresos'!$C$13</x:f>
        <x:v>810489.8434500003</x:v>
      </x:c>
      <x:c r="K11" s="55" t="n">
        <x:f>K10*'Modelo ingresos'!$C$13</x:f>
        <x:v>851014.3356225004</x:v>
      </x:c>
      <x:c r="L11" s="55" t="n">
        <x:f>L10*'Modelo ingresos'!$C$13</x:f>
        <x:v>893565.0524036255</x:v>
      </x:c>
      <x:c r="M11" s="55" t="n">
        <x:f>M10*'Modelo ingresos'!$C$13</x:f>
        <x:v>938243.3050238066</x:v>
      </x:c>
      <x:c r="N11" s="55" t="n">
        <x:f>N10*'Modelo ingresos'!$C$13</x:f>
        <x:v>985155.470274997</x:v>
      </x:c>
      <x:c r="O11" s="55" t="n">
        <x:f>O10*'Modelo ingresos'!$C$13</x:f>
        <x:v>1034413.243788747</x:v>
      </x:c>
      <x:c r="P11" s="55" t="n">
        <x:f>P10*'Modelo ingresos'!$C$13</x:f>
        <x:v>1086133.9059781842</x:v>
      </x:c>
      <x:c r="Q11" s="55" t="n">
        <x:f>Q10*'Modelo ingresos'!$C$13</x:f>
        <x:v>1140440.6012770936</x:v>
      </x:c>
      <x:c r="R11" s="55" t="n">
        <x:f>R10*'Modelo ingresos'!$C$13</x:f>
        <x:v>1197462.6313409484</x:v>
      </x:c>
      <x:c r="S11" s="55" t="n">
        <x:f>S10*'Modelo ingresos'!$C$13</x:f>
        <x:v>1257335.762907996</x:v>
      </x:c>
      <x:c r="T11" s="55" t="n">
        <x:f>T10*'Modelo ingresos'!$C$13</x:f>
        <x:v>1320202.5510533957</x:v>
      </x:c>
      <x:c r="U11" s="55" t="n">
        <x:f>U10*'Modelo ingresos'!$C$13</x:f>
        <x:v>1386212.6786060655</x:v>
      </x:c>
      <x:c r="V11" s="55" t="n">
        <x:f>V10*'Modelo ingresos'!$C$13</x:f>
        <x:v>1455523.3125363688</x:v>
      </x:c>
      <x:c r="W11" s="55" t="n">
        <x:f>W10*'Modelo ingresos'!$C$13</x:f>
        <x:v>1528299.4781631874</x:v>
      </x:c>
      <x:c r="X11" s="55" t="n">
        <x:f>X10*'Modelo ingresos'!$C$13</x:f>
        <x:v>1604714.452071347</x:v>
      </x:c>
      <x:c r="Y11" s="55" t="n">
        <x:f>Y10*'Modelo ingresos'!$C$13</x:f>
        <x:v>1684950.1746749145</x:v>
      </x:c>
      <x:c r="Z11" s="55" t="n">
        <x:f>Z10*'Modelo ingresos'!$C$13</x:f>
        <x:v>1769197.6834086603</x:v>
      </x:c>
    </x:row>
    <x:row r="12">
      <x:c r="B12" s="54" t="str">
        <x:v>Ingreso comision 15%</x:v>
      </x:c>
      <x:c r="C12" s="55" t="n">
        <x:f>C11*'Modelo ingresos'!$C$14</x:f>
        <x:v>86400</x:v>
      </x:c>
      <x:c r="D12" s="55" t="n">
        <x:f>D11*'Modelo ingresos'!$C$14</x:f>
        <x:v>90720</x:v>
      </x:c>
      <x:c r="E12" s="55" t="n">
        <x:f>E11*'Modelo ingresos'!$C$14</x:f>
        <x:v>95256</x:v>
      </x:c>
      <x:c r="F12" s="55" t="n">
        <x:f>F11*'Modelo ingresos'!$C$14</x:f>
        <x:v>100018.80000000002</x:v>
      </x:c>
      <x:c r="G12" s="55" t="n">
        <x:f>G11*'Modelo ingresos'!$C$14</x:f>
        <x:v>105019.74</x:v>
      </x:c>
      <x:c r="H12" s="55" t="n">
        <x:f>H11*'Modelo ingresos'!$C$14</x:f>
        <x:v>110270.72700000004</x:v>
      </x:c>
      <x:c r="I12" s="55" t="n">
        <x:f>I11*'Modelo ingresos'!$C$14</x:f>
        <x:v>115784.26335000002</x:v>
      </x:c>
      <x:c r="J12" s="55" t="n">
        <x:f>J11*'Modelo ingresos'!$C$14</x:f>
        <x:v>121573.47651750004</x:v>
      </x:c>
      <x:c r="K12" s="55" t="n">
        <x:f>K11*'Modelo ingresos'!$C$14</x:f>
        <x:v>127652.15034337505</x:v>
      </x:c>
      <x:c r="L12" s="55" t="n">
        <x:f>L11*'Modelo ingresos'!$C$14</x:f>
        <x:v>134034.75786054382</x:v>
      </x:c>
      <x:c r="M12" s="55" t="n">
        <x:f>M11*'Modelo ingresos'!$C$14</x:f>
        <x:v>140736.49575357098</x:v>
      </x:c>
      <x:c r="N12" s="55" t="n">
        <x:f>N11*'Modelo ingresos'!$C$14</x:f>
        <x:v>147773.32054124953</x:v>
      </x:c>
      <x:c r="O12" s="55" t="n">
        <x:f>O11*'Modelo ingresos'!$C$14</x:f>
        <x:v>155161.98656831204</x:v>
      </x:c>
      <x:c r="P12" s="55" t="n">
        <x:f>P11*'Modelo ingresos'!$C$14</x:f>
        <x:v>162920.08589672763</x:v>
      </x:c>
      <x:c r="Q12" s="55" t="n">
        <x:f>Q11*'Modelo ingresos'!$C$14</x:f>
        <x:v>171066.09019156403</x:v>
      </x:c>
      <x:c r="R12" s="55" t="n">
        <x:f>R11*'Modelo ingresos'!$C$14</x:f>
        <x:v>179619.39470114224</x:v>
      </x:c>
      <x:c r="S12" s="55" t="n">
        <x:f>S11*'Modelo ingresos'!$C$14</x:f>
        <x:v>188600.3644361994</x:v>
      </x:c>
      <x:c r="T12" s="55" t="n">
        <x:f>T11*'Modelo ingresos'!$C$14</x:f>
        <x:v>198030.38265800936</x:v>
      </x:c>
      <x:c r="U12" s="55" t="n">
        <x:f>U11*'Modelo ingresos'!$C$14</x:f>
        <x:v>207931.90179090982</x:v>
      </x:c>
      <x:c r="V12" s="55" t="n">
        <x:f>V11*'Modelo ingresos'!$C$14</x:f>
        <x:v>218328.49688045532</x:v>
      </x:c>
      <x:c r="W12" s="55" t="n">
        <x:f>W11*'Modelo ingresos'!$C$14</x:f>
        <x:v>229244.9217244781</x:v>
      </x:c>
      <x:c r="X12" s="55" t="n">
        <x:f>X11*'Modelo ingresos'!$C$14</x:f>
        <x:v>240707.16781070206</x:v>
      </x:c>
      <x:c r="Y12" s="55" t="n">
        <x:f>Y11*'Modelo ingresos'!$C$14</x:f>
        <x:v>252742.52620123717</x:v>
      </x:c>
      <x:c r="Z12" s="55" t="n">
        <x:f>Z11*'Modelo ingresos'!$C$14</x:f>
        <x:v>265379.65251129906</x:v>
      </x:c>
    </x:row>
    <x:row r="13">
      <x:c r="B13" s="54" t="str">
        <x:v>Pago mensual experiencias</x:v>
      </x:c>
      <x:c r="C13" s="55" t="n">
        <x:f>C7*'Modelo ingresos'!$C$15</x:f>
        <x:v>80000</x:v>
      </x:c>
      <x:c r="D13" s="55" t="n">
        <x:f>D7*'Modelo ingresos'!$C$15</x:f>
        <x:v>92000</x:v>
      </x:c>
      <x:c r="E13" s="55" t="n">
        <x:f>E7*'Modelo ingresos'!$C$15</x:f>
        <x:v>104000</x:v>
      </x:c>
      <x:c r="F13" s="55" t="n">
        <x:f>F7*'Modelo ingresos'!$C$15</x:f>
        <x:v>116000</x:v>
      </x:c>
      <x:c r="G13" s="55" t="n">
        <x:f>G7*'Modelo ingresos'!$C$15</x:f>
        <x:v>128000</x:v>
      </x:c>
      <x:c r="H13" s="55" t="n">
        <x:f>H7*'Modelo ingresos'!$C$15</x:f>
        <x:v>140000</x:v>
      </x:c>
      <x:c r="I13" s="55" t="n">
        <x:f>I7*'Modelo ingresos'!$C$15</x:f>
        <x:v>152000</x:v>
      </x:c>
      <x:c r="J13" s="55" t="n">
        <x:f>J7*'Modelo ingresos'!$C$15</x:f>
        <x:v>164000</x:v>
      </x:c>
      <x:c r="K13" s="55" t="n">
        <x:f>K7*'Modelo ingresos'!$C$15</x:f>
        <x:v>176000</x:v>
      </x:c>
      <x:c r="L13" s="55" t="n">
        <x:f>L7*'Modelo ingresos'!$C$15</x:f>
        <x:v>188000</x:v>
      </x:c>
      <x:c r="M13" s="55" t="n">
        <x:f>M7*'Modelo ingresos'!$C$15</x:f>
        <x:v>200000</x:v>
      </x:c>
      <x:c r="N13" s="55" t="n">
        <x:f>N7*'Modelo ingresos'!$C$15</x:f>
        <x:v>212000</x:v>
      </x:c>
      <x:c r="O13" s="55" t="n">
        <x:f>O7*'Modelo ingresos'!$C$15</x:f>
        <x:v>224000</x:v>
      </x:c>
      <x:c r="P13" s="55" t="n">
        <x:f>P7*'Modelo ingresos'!$C$15</x:f>
        <x:v>236000</x:v>
      </x:c>
      <x:c r="Q13" s="55" t="n">
        <x:f>Q7*'Modelo ingresos'!$C$15</x:f>
        <x:v>248000</x:v>
      </x:c>
      <x:c r="R13" s="55" t="n">
        <x:f>R7*'Modelo ingresos'!$C$15</x:f>
        <x:v>260000</x:v>
      </x:c>
      <x:c r="S13" s="55" t="n">
        <x:f>S7*'Modelo ingresos'!$C$15</x:f>
        <x:v>272000</x:v>
      </x:c>
      <x:c r="T13" s="55" t="n">
        <x:f>T7*'Modelo ingresos'!$C$15</x:f>
        <x:v>284000</x:v>
      </x:c>
      <x:c r="U13" s="55" t="n">
        <x:f>U7*'Modelo ingresos'!$C$15</x:f>
        <x:v>296000</x:v>
      </x:c>
      <x:c r="V13" s="55" t="n">
        <x:f>V7*'Modelo ingresos'!$C$15</x:f>
        <x:v>308000</x:v>
      </x:c>
      <x:c r="W13" s="55" t="n">
        <x:f>W7*'Modelo ingresos'!$C$15</x:f>
        <x:v>320000</x:v>
      </x:c>
      <x:c r="X13" s="55" t="n">
        <x:f>X7*'Modelo ingresos'!$C$15</x:f>
        <x:v>332000</x:v>
      </x:c>
      <x:c r="Y13" s="55" t="n">
        <x:f>Y7*'Modelo ingresos'!$C$15</x:f>
        <x:v>344000</x:v>
      </x:c>
      <x:c r="Z13" s="55" t="n">
        <x:f>Z7*'Modelo ingresos'!$C$15</x:f>
        <x:v>356000</x:v>
      </x:c>
    </x:row>
    <x:row r="14">
      <x:c r="B14" s="39" t="str">
        <x:v>Ingresos totales</x:v>
      </x:c>
      <x:c r="C14" s="40" t="n">
        <x:f>SUM(C12:C13)</x:f>
        <x:v>166400</x:v>
      </x:c>
      <x:c r="D14" s="40" t="n">
        <x:f>SUM(D12:D13)</x:f>
        <x:v>182720</x:v>
      </x:c>
      <x:c r="E14" s="40" t="n">
        <x:f>SUM(E12:E13)</x:f>
        <x:v>199256</x:v>
      </x:c>
      <x:c r="F14" s="40" t="n">
        <x:f>SUM(F12:F13)</x:f>
        <x:v>216018.80000000002</x:v>
      </x:c>
      <x:c r="G14" s="40" t="n">
        <x:f>SUM(G12:G13)</x:f>
        <x:v>233019.74</x:v>
      </x:c>
      <x:c r="H14" s="40" t="n">
        <x:f>SUM(H12:H13)</x:f>
        <x:v>250270.72700000004</x:v>
      </x:c>
      <x:c r="I14" s="40" t="n">
        <x:f>SUM(I12:I13)</x:f>
        <x:v>267784.26335</x:v>
      </x:c>
      <x:c r="J14" s="40" t="n">
        <x:f>SUM(J12:J13)</x:f>
        <x:v>285573.4765175</x:v>
      </x:c>
      <x:c r="K14" s="40" t="n">
        <x:f>SUM(K12:K13)</x:f>
        <x:v>303652.15034337505</x:v>
      </x:c>
      <x:c r="L14" s="40" t="n">
        <x:f>SUM(L12:L13)</x:f>
        <x:v>322034.7578605438</x:v>
      </x:c>
      <x:c r="M14" s="40" t="n">
        <x:f>SUM(M12:M13)</x:f>
        <x:v>340736.495753571</x:v>
      </x:c>
      <x:c r="N14" s="40" t="n">
        <x:f>SUM(N12:N13)</x:f>
        <x:v>359773.32054124953</x:v>
      </x:c>
      <x:c r="O14" s="40" t="n">
        <x:f>SUM(O12:O13)</x:f>
        <x:v>379161.98656831204</x:v>
      </x:c>
      <x:c r="P14" s="40" t="n">
        <x:f>SUM(P12:P13)</x:f>
        <x:v>398920.0858967276</x:v>
      </x:c>
      <x:c r="Q14" s="40" t="n">
        <x:f>SUM(Q12:Q13)</x:f>
        <x:v>419066.09019156406</x:v>
      </x:c>
      <x:c r="R14" s="40" t="n">
        <x:f>SUM(R12:R13)</x:f>
        <x:v>439619.3947011422</x:v>
      </x:c>
      <x:c r="S14" s="40" t="n">
        <x:f>SUM(S12:S13)</x:f>
        <x:v>460600.3644361994</x:v>
      </x:c>
      <x:c r="T14" s="40" t="n">
        <x:f>SUM(T12:T13)</x:f>
        <x:v>482030.38265800936</x:v>
      </x:c>
      <x:c r="U14" s="40" t="n">
        <x:f>SUM(U12:U13)</x:f>
        <x:v>503931.9017909098</x:v>
      </x:c>
      <x:c r="V14" s="40" t="n">
        <x:f>SUM(V12:V13)</x:f>
        <x:v>526328.4968804553</x:v>
      </x:c>
      <x:c r="W14" s="40" t="n">
        <x:f>SUM(W12:W13)</x:f>
        <x:v>549244.9217244781</x:v>
      </x:c>
      <x:c r="X14" s="40" t="n">
        <x:f>SUM(X12:X13)</x:f>
        <x:v>572707.167810702</x:v>
      </x:c>
      <x:c r="Y14" s="40" t="n">
        <x:f>SUM(Y12:Y13)</x:f>
        <x:v>596742.5262012372</x:v>
      </x:c>
      <x:c r="Z14" s="40" t="n">
        <x:f>SUM(Z12:Z13)</x:f>
        <x:v>621379.6525112991</x:v>
      </x:c>
    </x:row>
    <x:row r="15">
      <x:c r="B15" s="54" t="str">
        <x:v>Costos variables</x:v>
      </x:c>
      <x:c r="C15" s="55" t="n">
        <x:f>C10*'Modelo ingresos'!$C$16+C11*'Modelo ingresos'!$C$17</x:f>
        <x:v>28032</x:v>
      </x:c>
      <x:c r="D15" s="55" t="n">
        <x:f>D10*'Modelo ingresos'!$C$16+D11*'Modelo ingresos'!$C$17</x:f>
        <x:v>29433.600000000002</x:v>
      </x:c>
      <x:c r="E15" s="55" t="n">
        <x:f>E10*'Modelo ingresos'!$C$16+E11*'Modelo ingresos'!$C$17</x:f>
        <x:v>30905.28</x:v>
      </x:c>
      <x:c r="F15" s="55" t="n">
        <x:f>F10*'Modelo ingresos'!$C$16+F11*'Modelo ingresos'!$C$17</x:f>
        <x:v>32450.544000000005</x:v>
      </x:c>
      <x:c r="G15" s="55" t="n">
        <x:f>G10*'Modelo ingresos'!$C$16+G11*'Modelo ingresos'!$C$17</x:f>
        <x:v>34073.071200000006</x:v>
      </x:c>
      <x:c r="H15" s="55" t="n">
        <x:f>H10*'Modelo ingresos'!$C$16+H11*'Modelo ingresos'!$C$17</x:f>
        <x:v>35776.72476000001</x:v>
      </x:c>
      <x:c r="I15" s="55" t="n">
        <x:f>I10*'Modelo ingresos'!$C$16+I11*'Modelo ingresos'!$C$17</x:f>
        <x:v>37565.56099800001</x:v>
      </x:c>
      <x:c r="J15" s="55" t="n">
        <x:f>J10*'Modelo ingresos'!$C$16+J11*'Modelo ingresos'!$C$17</x:f>
        <x:v>39443.839047900015</x:v>
      </x:c>
      <x:c r="K15" s="55" t="n">
        <x:f>K10*'Modelo ingresos'!$C$16+K11*'Modelo ingresos'!$C$17</x:f>
        <x:v>41416.03100029502</x:v>
      </x:c>
      <x:c r="L15" s="55" t="n">
        <x:f>L10*'Modelo ingresos'!$C$16+L11*'Modelo ingresos'!$C$17</x:f>
        <x:v>43486.83255030977</x:v>
      </x:c>
      <x:c r="M15" s="55" t="n">
        <x:f>M10*'Modelo ingresos'!$C$16+M11*'Modelo ingresos'!$C$17</x:f>
        <x:v>45661.17417782526</x:v>
      </x:c>
      <x:c r="N15" s="55" t="n">
        <x:f>N10*'Modelo ingresos'!$C$16+N11*'Modelo ingresos'!$C$17</x:f>
        <x:v>47944.23288671652</x:v>
      </x:c>
      <x:c r="O15" s="55" t="n">
        <x:f>O10*'Modelo ingresos'!$C$16+O11*'Modelo ingresos'!$C$17</x:f>
        <x:v>50341.44453105235</x:v>
      </x:c>
      <x:c r="P15" s="55" t="n">
        <x:f>P10*'Modelo ingresos'!$C$16+P11*'Modelo ingresos'!$C$17</x:f>
        <x:v>52858.516757604964</x:v>
      </x:c>
      <x:c r="Q15" s="55" t="n">
        <x:f>Q10*'Modelo ingresos'!$C$16+Q11*'Modelo ingresos'!$C$17</x:f>
        <x:v>55501.44259548523</x:v>
      </x:c>
      <x:c r="R15" s="55" t="n">
        <x:f>R10*'Modelo ingresos'!$C$16+R11*'Modelo ingresos'!$C$17</x:f>
        <x:v>58276.51472525949</x:v>
      </x:c>
      <x:c r="S15" s="55" t="n">
        <x:f>S10*'Modelo ingresos'!$C$16+S11*'Modelo ingresos'!$C$17</x:f>
        <x:v>61190.34046152247</x:v>
      </x:c>
      <x:c r="T15" s="55" t="n">
        <x:f>T10*'Modelo ingresos'!$C$16+T11*'Modelo ingresos'!$C$17</x:f>
        <x:v>64249.8574845986</x:v>
      </x:c>
      <x:c r="U15" s="55" t="n">
        <x:f>U10*'Modelo ingresos'!$C$16+U11*'Modelo ingresos'!$C$17</x:f>
        <x:v>67462.35035882852</x:v>
      </x:c>
      <x:c r="V15" s="55" t="n">
        <x:f>V10*'Modelo ingresos'!$C$16+V11*'Modelo ingresos'!$C$17</x:f>
        <x:v>70835.46787676995</x:v>
      </x:c>
      <x:c r="W15" s="55" t="n">
        <x:f>W10*'Modelo ingresos'!$C$16+W11*'Modelo ingresos'!$C$17</x:f>
        <x:v>74377.24127060844</x:v>
      </x:c>
      <x:c r="X15" s="55" t="n">
        <x:f>X10*'Modelo ingresos'!$C$16+X11*'Modelo ingresos'!$C$17</x:f>
        <x:v>78096.1033341389</x:v>
      </x:c>
      <x:c r="Y15" s="55" t="n">
        <x:f>Y10*'Modelo ingresos'!$C$16+Y11*'Modelo ingresos'!$C$17</x:f>
        <x:v>82000.90850084584</x:v>
      </x:c>
      <x:c r="Z15" s="55" t="n">
        <x:f>Z10*'Modelo ingresos'!$C$16+Z11*'Modelo ingresos'!$C$17</x:f>
        <x:v>86100.95392588814</x:v>
      </x:c>
    </x:row>
    <x:row r="16">
      <x:c r="B16" s="54" t="str">
        <x:v>Margen contribucion</x:v>
      </x:c>
      <x:c r="C16" s="55" t="n">
        <x:f>C14-C15</x:f>
        <x:v>138368</x:v>
      </x:c>
      <x:c r="D16" s="55" t="n">
        <x:f>D14-D15</x:f>
        <x:v>153286.4</x:v>
      </x:c>
      <x:c r="E16" s="55" t="n">
        <x:f>E14-E15</x:f>
        <x:v>168350.72</x:v>
      </x:c>
      <x:c r="F16" s="55" t="n">
        <x:f>F14-F15</x:f>
        <x:v>183568.25600000002</x:v>
      </x:c>
      <x:c r="G16" s="55" t="n">
        <x:f>G14-G15</x:f>
        <x:v>198946.66879999998</x:v>
      </x:c>
      <x:c r="H16" s="55" t="n">
        <x:f>H14-H15</x:f>
        <x:v>214494.00224000003</x:v>
      </x:c>
      <x:c r="I16" s="55" t="n">
        <x:f>I14-I15</x:f>
        <x:v>230218.70235200002</x:v>
      </x:c>
      <x:c r="J16" s="55" t="n">
        <x:f>J14-J15</x:f>
        <x:v>246129.63746959998</x:v>
      </x:c>
      <x:c r="K16" s="55" t="n">
        <x:f>K14-K15</x:f>
        <x:v>262236.11934308003</x:v>
      </x:c>
      <x:c r="L16" s="55" t="n">
        <x:f>L14-L15</x:f>
        <x:v>278547.925310234</x:v>
      </x:c>
      <x:c r="M16" s="55" t="n">
        <x:f>M14-M15</x:f>
        <x:v>295075.3215757457</x:v>
      </x:c>
      <x:c r="N16" s="55" t="n">
        <x:f>N14-N15</x:f>
        <x:v>311829.087654533</x:v>
      </x:c>
      <x:c r="O16" s="55" t="n">
        <x:f>O14-O15</x:f>
        <x:v>328820.5420372597</x:v>
      </x:c>
      <x:c r="P16" s="55" t="n">
        <x:f>P14-P15</x:f>
        <x:v>346061.5691391227</x:v>
      </x:c>
      <x:c r="Q16" s="55" t="n">
        <x:f>Q14-Q15</x:f>
        <x:v>363564.6475960788</x:v>
      </x:c>
      <x:c r="R16" s="55" t="n">
        <x:f>R14-R15</x:f>
        <x:v>381342.8799758827</x:v>
      </x:c>
      <x:c r="S16" s="55" t="n">
        <x:f>S14-S15</x:f>
        <x:v>399410.02397467697</x:v>
      </x:c>
      <x:c r="T16" s="55" t="n">
        <x:f>T14-T15</x:f>
        <x:v>417780.5251734108</x:v>
      </x:c>
      <x:c r="U16" s="55" t="n">
        <x:f>U14-U15</x:f>
        <x:v>436469.55143208127</x:v>
      </x:c>
      <x:c r="V16" s="55" t="n">
        <x:f>V14-V15</x:f>
        <x:v>455493.02900368534</x:v>
      </x:c>
      <x:c r="W16" s="55" t="n">
        <x:f>W14-W15</x:f>
        <x:v>474867.6804538697</x:v>
      </x:c>
      <x:c r="X16" s="55" t="n">
        <x:f>X14-X15</x:f>
        <x:v>494611.06447656313</x:v>
      </x:c>
      <x:c r="Y16" s="55" t="n">
        <x:f>Y14-Y15</x:f>
        <x:v>514741.6177003914</x:v>
      </x:c>
      <x:c r="Z16" s="55" t="n">
        <x:f>Z14-Z15</x:f>
        <x:v>535278.698585411</x:v>
      </x:c>
    </x:row>
    <x:row r="17"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  <x:row r="18">
      <x:c r="B18" s="54" t="str">
        <x:v>Costos fijos operativos</x:v>
      </x:c>
      <x:c r="C18" s="55" t="n">
        <x:f>SUM('Uso de fondos'!$E$10,'Uso de fondos'!$E$14)/4 + 60000</x:f>
        <x:v>120000</x:v>
      </x:c>
      <x:c r="D18" s="55" t="n">
        <x:f>SUM('Uso de fondos'!$E$10,'Uso de fondos'!$E$14)/4 + 60000</x:f>
        <x:v>120000</x:v>
      </x:c>
      <x:c r="E18" s="55" t="n">
        <x:f>SUM('Uso de fondos'!$E$10,'Uso de fondos'!$E$14)/4 + 60000</x:f>
        <x:v>120000</x:v>
      </x:c>
      <x:c r="F18" s="55" t="n">
        <x:f>SUM('Uso de fondos'!$E$10,'Uso de fondos'!$E$14)/4 + 60000</x:f>
        <x:v>120000</x:v>
      </x:c>
      <x:c r="G18" s="55" t="n">
        <x:f>SUM('Uso de fondos'!$E$10,'Uso de fondos'!$E$14)/4 + 60000</x:f>
        <x:v>120000</x:v>
      </x:c>
      <x:c r="H18" s="55" t="n">
        <x:f>SUM('Uso de fondos'!$E$10,'Uso de fondos'!$E$14)/4 + 60000</x:f>
        <x:v>120000</x:v>
      </x:c>
      <x:c r="I18" s="55" t="n">
        <x:f>SUM('Uso de fondos'!$E$10,'Uso de fondos'!$E$14)/4 + 60000</x:f>
        <x:v>120000</x:v>
      </x:c>
      <x:c r="J18" s="55" t="n">
        <x:f>SUM('Uso de fondos'!$E$10,'Uso de fondos'!$E$14)/4 + 60000</x:f>
        <x:v>120000</x:v>
      </x:c>
      <x:c r="K18" s="55" t="n">
        <x:f>SUM('Uso de fondos'!$E$10,'Uso de fondos'!$E$14)/4 + 60000</x:f>
        <x:v>120000</x:v>
      </x:c>
      <x:c r="L18" s="55" t="n">
        <x:f>SUM('Uso de fondos'!$E$10,'Uso de fondos'!$E$14)/4 + 60000</x:f>
        <x:v>120000</x:v>
      </x:c>
      <x:c r="M18" s="55" t="n">
        <x:f>SUM('Uso de fondos'!$E$10,'Uso de fondos'!$E$14)/4 + 60000</x:f>
        <x:v>120000</x:v>
      </x:c>
      <x:c r="N18" s="55" t="n">
        <x:f>SUM('Uso de fondos'!$E$10,'Uso de fondos'!$E$14)/4 + 60000</x:f>
        <x:v>120000</x:v>
      </x:c>
      <x:c r="O18" s="55" t="n">
        <x:f>SUM('Uso de fondos'!$E$10,'Uso de fondos'!$E$14)/4 + 60000</x:f>
        <x:v>120000</x:v>
      </x:c>
      <x:c r="P18" s="55" t="n">
        <x:f>SUM('Uso de fondos'!$E$10,'Uso de fondos'!$E$14)/4 + 60000</x:f>
        <x:v>120000</x:v>
      </x:c>
      <x:c r="Q18" s="55" t="n">
        <x:f>SUM('Uso de fondos'!$E$10,'Uso de fondos'!$E$14)/4 + 60000</x:f>
        <x:v>120000</x:v>
      </x:c>
      <x:c r="R18" s="55" t="n">
        <x:f>SUM('Uso de fondos'!$E$10,'Uso de fondos'!$E$14)/4 + 60000</x:f>
        <x:v>120000</x:v>
      </x:c>
      <x:c r="S18" s="55" t="n">
        <x:f>SUM('Uso de fondos'!$E$10,'Uso de fondos'!$E$14)/4 + 60000</x:f>
        <x:v>120000</x:v>
      </x:c>
      <x:c r="T18" s="55" t="n">
        <x:f>SUM('Uso de fondos'!$E$10,'Uso de fondos'!$E$14)/4 + 60000</x:f>
        <x:v>120000</x:v>
      </x:c>
      <x:c r="U18" s="55" t="n">
        <x:f>SUM('Uso de fondos'!$E$10,'Uso de fondos'!$E$14)/4 + 60000</x:f>
        <x:v>120000</x:v>
      </x:c>
      <x:c r="V18" s="55" t="n">
        <x:f>SUM('Uso de fondos'!$E$10,'Uso de fondos'!$E$14)/4 + 60000</x:f>
        <x:v>120000</x:v>
      </x:c>
      <x:c r="W18" s="55" t="n">
        <x:f>SUM('Uso de fondos'!$E$10,'Uso de fondos'!$E$14)/4 + 60000</x:f>
        <x:v>120000</x:v>
      </x:c>
      <x:c r="X18" s="55" t="n">
        <x:f>SUM('Uso de fondos'!$E$10,'Uso de fondos'!$E$14)/4 + 60000</x:f>
        <x:v>120000</x:v>
      </x:c>
      <x:c r="Y18" s="55" t="n">
        <x:f>SUM('Uso de fondos'!$E$10,'Uso de fondos'!$E$14)/4 + 60000</x:f>
        <x:v>120000</x:v>
      </x:c>
      <x:c r="Z18" s="55" t="n">
        <x:f>SUM('Uso de fondos'!$E$10,'Uso de fondos'!$E$14)/4 + 60000</x:f>
        <x:v>120000</x:v>
      </x:c>
    </x:row>
    <x:row r="19">
      <x:c r="B19" s="54" t="str">
        <x:v>Marketing internacional</x:v>
      </x:c>
      <x:c r="C19" s="55" t="n">
        <x:f>IF(COLUMN()-2&lt;=4,'Uso de fondos'!$E$14/4,25000)</x:f>
        <x:v>35000</x:v>
      </x:c>
      <x:c r="D19" s="55" t="n">
        <x:f>IF(COLUMN()-2&lt;=4,'Uso de fondos'!$E$14/4,25000)</x:f>
        <x:v>35000</x:v>
      </x:c>
      <x:c r="E19" s="55" t="n">
        <x:f>IF(COLUMN()-2&lt;=4,'Uso de fondos'!$E$14/4,25000)</x:f>
        <x:v>35000</x:v>
      </x:c>
      <x:c r="F19" s="55" t="n">
        <x:f>IF(COLUMN()-2&lt;=4,'Uso de fondos'!$E$14/4,25000)</x:f>
        <x:v>35000</x:v>
      </x:c>
      <x:c r="G19" s="55" t="n">
        <x:f>IF(COLUMN()-2&lt;=4,'Uso de fondos'!$E$14/4,25000)</x:f>
        <x:v>25000</x:v>
      </x:c>
      <x:c r="H19" s="55" t="n">
        <x:f>IF(COLUMN()-2&lt;=4,'Uso de fondos'!$E$14/4,25000)</x:f>
        <x:v>25000</x:v>
      </x:c>
      <x:c r="I19" s="55" t="n">
        <x:f>IF(COLUMN()-2&lt;=4,'Uso de fondos'!$E$14/4,25000)</x:f>
        <x:v>25000</x:v>
      </x:c>
      <x:c r="J19" s="55" t="n">
        <x:f>IF(COLUMN()-2&lt;=4,'Uso de fondos'!$E$14/4,25000)</x:f>
        <x:v>25000</x:v>
      </x:c>
      <x:c r="K19" s="55" t="n">
        <x:f>IF(COLUMN()-2&lt;=4,'Uso de fondos'!$E$14/4,25000)</x:f>
        <x:v>25000</x:v>
      </x:c>
      <x:c r="L19" s="55" t="n">
        <x:f>IF(COLUMN()-2&lt;=4,'Uso de fondos'!$E$14/4,25000)</x:f>
        <x:v>25000</x:v>
      </x:c>
      <x:c r="M19" s="55" t="n">
        <x:f>IF(COLUMN()-2&lt;=4,'Uso de fondos'!$E$14/4,25000)</x:f>
        <x:v>25000</x:v>
      </x:c>
      <x:c r="N19" s="55" t="n">
        <x:f>IF(COLUMN()-2&lt;=4,'Uso de fondos'!$E$14/4,25000)</x:f>
        <x:v>25000</x:v>
      </x:c>
      <x:c r="O19" s="55" t="n">
        <x:f>IF(COLUMN()-2&lt;=4,'Uso de fondos'!$E$14/4,25000)</x:f>
        <x:v>25000</x:v>
      </x:c>
      <x:c r="P19" s="55" t="n">
        <x:f>IF(COLUMN()-2&lt;=4,'Uso de fondos'!$E$14/4,25000)</x:f>
        <x:v>25000</x:v>
      </x:c>
      <x:c r="Q19" s="55" t="n">
        <x:f>IF(COLUMN()-2&lt;=4,'Uso de fondos'!$E$14/4,25000)</x:f>
        <x:v>25000</x:v>
      </x:c>
      <x:c r="R19" s="55" t="n">
        <x:f>IF(COLUMN()-2&lt;=4,'Uso de fondos'!$E$14/4,25000)</x:f>
        <x:v>25000</x:v>
      </x:c>
      <x:c r="S19" s="55" t="n">
        <x:f>IF(COLUMN()-2&lt;=4,'Uso de fondos'!$E$14/4,25000)</x:f>
        <x:v>25000</x:v>
      </x:c>
      <x:c r="T19" s="55" t="n">
        <x:f>IF(COLUMN()-2&lt;=4,'Uso de fondos'!$E$14/4,25000)</x:f>
        <x:v>25000</x:v>
      </x:c>
      <x:c r="U19" s="55" t="n">
        <x:f>IF(COLUMN()-2&lt;=4,'Uso de fondos'!$E$14/4,25000)</x:f>
        <x:v>25000</x:v>
      </x:c>
      <x:c r="V19" s="55" t="n">
        <x:f>IF(COLUMN()-2&lt;=4,'Uso de fondos'!$E$14/4,25000)</x:f>
        <x:v>25000</x:v>
      </x:c>
      <x:c r="W19" s="55" t="n">
        <x:f>IF(COLUMN()-2&lt;=4,'Uso de fondos'!$E$14/4,25000)</x:f>
        <x:v>25000</x:v>
      </x:c>
      <x:c r="X19" s="55" t="n">
        <x:f>IF(COLUMN()-2&lt;=4,'Uso de fondos'!$E$14/4,25000)</x:f>
        <x:v>25000</x:v>
      </x:c>
      <x:c r="Y19" s="55" t="n">
        <x:f>IF(COLUMN()-2&lt;=4,'Uso de fondos'!$E$14/4,25000)</x:f>
        <x:v>25000</x:v>
      </x:c>
      <x:c r="Z19" s="55" t="n">
        <x:f>IF(COLUMN()-2&lt;=4,'Uso de fondos'!$E$14/4,25000)</x:f>
        <x:v>25000</x:v>
      </x:c>
    </x:row>
    <x:row r="20">
      <x:c r="B20" s="54" t="str">
        <x:v>Mantenimiento sistema</x:v>
      </x:c>
      <x:c r="C20" s="55" t="n">
        <x:f>IF(COLUMN()-2&lt;=4,'Uso de fondos'!$E$15/4,12000)</x:f>
        <x:v>45000</x:v>
      </x:c>
      <x:c r="D20" s="55" t="n">
        <x:f>IF(COLUMN()-2&lt;=4,'Uso de fondos'!$E$15/4,12000)</x:f>
        <x:v>45000</x:v>
      </x:c>
      <x:c r="E20" s="55" t="n">
        <x:f>IF(COLUMN()-2&lt;=4,'Uso de fondos'!$E$15/4,12000)</x:f>
        <x:v>45000</x:v>
      </x:c>
      <x:c r="F20" s="55" t="n">
        <x:f>IF(COLUMN()-2&lt;=4,'Uso de fondos'!$E$15/4,12000)</x:f>
        <x:v>45000</x:v>
      </x:c>
      <x:c r="G20" s="55" t="n">
        <x:f>IF(COLUMN()-2&lt;=4,'Uso de fondos'!$E$15/4,12000)</x:f>
        <x:v>12000</x:v>
      </x:c>
      <x:c r="H20" s="55" t="n">
        <x:f>IF(COLUMN()-2&lt;=4,'Uso de fondos'!$E$15/4,12000)</x:f>
        <x:v>12000</x:v>
      </x:c>
      <x:c r="I20" s="55" t="n">
        <x:f>IF(COLUMN()-2&lt;=4,'Uso de fondos'!$E$15/4,12000)</x:f>
        <x:v>12000</x:v>
      </x:c>
      <x:c r="J20" s="55" t="n">
        <x:f>IF(COLUMN()-2&lt;=4,'Uso de fondos'!$E$15/4,12000)</x:f>
        <x:v>12000</x:v>
      </x:c>
      <x:c r="K20" s="55" t="n">
        <x:f>IF(COLUMN()-2&lt;=4,'Uso de fondos'!$E$15/4,12000)</x:f>
        <x:v>12000</x:v>
      </x:c>
      <x:c r="L20" s="55" t="n">
        <x:f>IF(COLUMN()-2&lt;=4,'Uso de fondos'!$E$15/4,12000)</x:f>
        <x:v>12000</x:v>
      </x:c>
      <x:c r="M20" s="55" t="n">
        <x:f>IF(COLUMN()-2&lt;=4,'Uso de fondos'!$E$15/4,12000)</x:f>
        <x:v>12000</x:v>
      </x:c>
      <x:c r="N20" s="55" t="n">
        <x:f>IF(COLUMN()-2&lt;=4,'Uso de fondos'!$E$15/4,12000)</x:f>
        <x:v>12000</x:v>
      </x:c>
      <x:c r="O20" s="55" t="n">
        <x:f>IF(COLUMN()-2&lt;=4,'Uso de fondos'!$E$15/4,12000)</x:f>
        <x:v>12000</x:v>
      </x:c>
      <x:c r="P20" s="55" t="n">
        <x:f>IF(COLUMN()-2&lt;=4,'Uso de fondos'!$E$15/4,12000)</x:f>
        <x:v>12000</x:v>
      </x:c>
      <x:c r="Q20" s="55" t="n">
        <x:f>IF(COLUMN()-2&lt;=4,'Uso de fondos'!$E$15/4,12000)</x:f>
        <x:v>12000</x:v>
      </x:c>
      <x:c r="R20" s="55" t="n">
        <x:f>IF(COLUMN()-2&lt;=4,'Uso de fondos'!$E$15/4,12000)</x:f>
        <x:v>12000</x:v>
      </x:c>
      <x:c r="S20" s="55" t="n">
        <x:f>IF(COLUMN()-2&lt;=4,'Uso de fondos'!$E$15/4,12000)</x:f>
        <x:v>12000</x:v>
      </x:c>
      <x:c r="T20" s="55" t="n">
        <x:f>IF(COLUMN()-2&lt;=4,'Uso de fondos'!$E$15/4,12000)</x:f>
        <x:v>12000</x:v>
      </x:c>
      <x:c r="U20" s="55" t="n">
        <x:f>IF(COLUMN()-2&lt;=4,'Uso de fondos'!$E$15/4,12000)</x:f>
        <x:v>12000</x:v>
      </x:c>
      <x:c r="V20" s="55" t="n">
        <x:f>IF(COLUMN()-2&lt;=4,'Uso de fondos'!$E$15/4,12000)</x:f>
        <x:v>12000</x:v>
      </x:c>
      <x:c r="W20" s="55" t="n">
        <x:f>IF(COLUMN()-2&lt;=4,'Uso de fondos'!$E$15/4,12000)</x:f>
        <x:v>12000</x:v>
      </x:c>
      <x:c r="X20" s="55" t="n">
        <x:f>IF(COLUMN()-2&lt;=4,'Uso de fondos'!$E$15/4,12000)</x:f>
        <x:v>12000</x:v>
      </x:c>
      <x:c r="Y20" s="55" t="n">
        <x:f>IF(COLUMN()-2&lt;=4,'Uso de fondos'!$E$15/4,12000)</x:f>
        <x:v>12000</x:v>
      </x:c>
      <x:c r="Z20" s="55" t="n">
        <x:f>IF(COLUMN()-2&lt;=4,'Uso de fondos'!$E$15/4,12000)</x:f>
        <x:v>12000</x:v>
      </x:c>
    </x:row>
    <x:row r="21">
      <x:c r="B21" s="36" t="str">
        <x:v>EBITDA mensual</x:v>
      </x:c>
      <x:c r="C21" s="37" t="n">
        <x:f>C16-SUM(C18:C20)</x:f>
        <x:v>-61632</x:v>
      </x:c>
      <x:c r="D21" s="37" t="n">
        <x:f>D16-SUM(D18:D20)</x:f>
        <x:v>-46713.600000000006</x:v>
      </x:c>
      <x:c r="E21" s="37" t="n">
        <x:f>E16-SUM(E18:E20)</x:f>
        <x:v>-31649.28</x:v>
      </x:c>
      <x:c r="F21" s="37" t="n">
        <x:f>F16-SUM(F18:F20)</x:f>
        <x:v>-16431.743999999977</x:v>
      </x:c>
      <x:c r="G21" s="37" t="n">
        <x:f>G16-SUM(G18:G20)</x:f>
        <x:v>41946.668799999985</x:v>
      </x:c>
      <x:c r="H21" s="37" t="n">
        <x:f>H16-SUM(H18:H20)</x:f>
        <x:v>57494.00224000003</x:v>
      </x:c>
      <x:c r="I21" s="37" t="n">
        <x:f>I16-SUM(I18:I20)</x:f>
        <x:v>73218.70235200002</x:v>
      </x:c>
      <x:c r="J21" s="37" t="n">
        <x:f>J16-SUM(J18:J20)</x:f>
        <x:v>89129.63746959998</x:v>
      </x:c>
      <x:c r="K21" s="37" t="n">
        <x:f>K16-SUM(K18:K20)</x:f>
        <x:v>105236.11934308003</x:v>
      </x:c>
      <x:c r="L21" s="37" t="n">
        <x:f>L16-SUM(L18:L20)</x:f>
        <x:v>121547.92531023402</x:v>
      </x:c>
      <x:c r="M21" s="37" t="n">
        <x:f>M16-SUM(M18:M20)</x:f>
        <x:v>138075.3215757457</x:v>
      </x:c>
      <x:c r="N21" s="37" t="n">
        <x:f>N16-SUM(N18:N20)</x:f>
        <x:v>154829.08765453298</x:v>
      </x:c>
      <x:c r="O21" s="37" t="n">
        <x:f>O16-SUM(O18:O20)</x:f>
        <x:v>171820.54203725967</x:v>
      </x:c>
      <x:c r="P21" s="37" t="n">
        <x:f>P16-SUM(P18:P20)</x:f>
        <x:v>189061.56913912267</x:v>
      </x:c>
      <x:c r="Q21" s="37" t="n">
        <x:f>Q16-SUM(Q18:Q20)</x:f>
        <x:v>206564.6475960788</x:v>
      </x:c>
      <x:c r="R21" s="37" t="n">
        <x:f>R16-SUM(R18:R20)</x:f>
        <x:v>224342.8799758827</x:v>
      </x:c>
      <x:c r="S21" s="37" t="n">
        <x:f>S16-SUM(S18:S20)</x:f>
        <x:v>242410.02397467697</x:v>
      </x:c>
      <x:c r="T21" s="37" t="n">
        <x:f>T16-SUM(T18:T20)</x:f>
        <x:v>260780.52517341077</x:v>
      </x:c>
      <x:c r="U21" s="37" t="n">
        <x:f>U16-SUM(U18:U20)</x:f>
        <x:v>279469.55143208127</x:v>
      </x:c>
      <x:c r="V21" s="37" t="n">
        <x:f>V16-SUM(V18:V20)</x:f>
        <x:v>298493.02900368534</x:v>
      </x:c>
      <x:c r="W21" s="37" t="n">
        <x:f>W16-SUM(W18:W20)</x:f>
        <x:v>317867.6804538697</x:v>
      </x:c>
      <x:c r="X21" s="37" t="n">
        <x:f>X16-SUM(X18:X20)</x:f>
        <x:v>337611.06447656313</x:v>
      </x:c>
      <x:c r="Y21" s="37" t="n">
        <x:f>Y16-SUM(Y18:Y20)</x:f>
        <x:v>357741.6177003914</x:v>
      </x:c>
      <x:c r="Z21" s="37" t="n">
        <x:f>Z16-SUM(Z18:Z20)</x:f>
        <x:v>378278.69858541095</x:v>
      </x:c>
    </x:row>
    <x:row r="22">
      <x:c r="B22" s="54" t="str">
        <x:v>Inversion inicial</x:v>
      </x:c>
      <x:c r="C22" s="55" t="n">
        <x:f>IF(COLUMN()=3,'Uso de fondos'!$E$19,0)</x:f>
        <x:v>800000</x:v>
      </x:c>
      <x:c r="D22" s="55" t="n">
        <x:f>IF(COLUMN()=3,'Uso de fondos'!$E$19,0)</x:f>
        <x:v>0</x:v>
      </x:c>
      <x:c r="E22" s="55" t="n">
        <x:f>IF(COLUMN()=3,'Uso de fondos'!$E$19,0)</x:f>
        <x:v>0</x:v>
      </x:c>
      <x:c r="F22" s="55" t="n">
        <x:f>IF(COLUMN()=3,'Uso de fondos'!$E$19,0)</x:f>
        <x:v>0</x:v>
      </x:c>
      <x:c r="G22" s="55" t="n">
        <x:f>IF(COLUMN()=3,'Uso de fondos'!$E$19,0)</x:f>
        <x:v>0</x:v>
      </x:c>
      <x:c r="H22" s="55" t="n">
        <x:f>IF(COLUMN()=3,'Uso de fondos'!$E$19,0)</x:f>
        <x:v>0</x:v>
      </x:c>
      <x:c r="I22" s="55" t="n">
        <x:f>IF(COLUMN()=3,'Uso de fondos'!$E$19,0)</x:f>
        <x:v>0</x:v>
      </x:c>
      <x:c r="J22" s="55" t="n">
        <x:f>IF(COLUMN()=3,'Uso de fondos'!$E$19,0)</x:f>
        <x:v>0</x:v>
      </x:c>
      <x:c r="K22" s="55" t="n">
        <x:f>IF(COLUMN()=3,'Uso de fondos'!$E$19,0)</x:f>
        <x:v>0</x:v>
      </x:c>
      <x:c r="L22" s="55" t="n">
        <x:f>IF(COLUMN()=3,'Uso de fondos'!$E$19,0)</x:f>
        <x:v>0</x:v>
      </x:c>
      <x:c r="M22" s="55" t="n">
        <x:f>IF(COLUMN()=3,'Uso de fondos'!$E$19,0)</x:f>
        <x:v>0</x:v>
      </x:c>
      <x:c r="N22" s="55" t="n">
        <x:f>IF(COLUMN()=3,'Uso de fondos'!$E$19,0)</x:f>
        <x:v>0</x:v>
      </x:c>
      <x:c r="O22" s="55" t="n">
        <x:f>IF(COLUMN()=3,'Uso de fondos'!$E$19,0)</x:f>
        <x:v>0</x:v>
      </x:c>
      <x:c r="P22" s="55" t="n">
        <x:f>IF(COLUMN()=3,'Uso de fondos'!$E$19,0)</x:f>
        <x:v>0</x:v>
      </x:c>
      <x:c r="Q22" s="55" t="n">
        <x:f>IF(COLUMN()=3,'Uso de fondos'!$E$19,0)</x:f>
        <x:v>0</x:v>
      </x:c>
      <x:c r="R22" s="55" t="n">
        <x:f>IF(COLUMN()=3,'Uso de fondos'!$E$19,0)</x:f>
        <x:v>0</x:v>
      </x:c>
      <x:c r="S22" s="55" t="n">
        <x:f>IF(COLUMN()=3,'Uso de fondos'!$E$19,0)</x:f>
        <x:v>0</x:v>
      </x:c>
      <x:c r="T22" s="55" t="n">
        <x:f>IF(COLUMN()=3,'Uso de fondos'!$E$19,0)</x:f>
        <x:v>0</x:v>
      </x:c>
      <x:c r="U22" s="55" t="n">
        <x:f>IF(COLUMN()=3,'Uso de fondos'!$E$19,0)</x:f>
        <x:v>0</x:v>
      </x:c>
      <x:c r="V22" s="55" t="n">
        <x:f>IF(COLUMN()=3,'Uso de fondos'!$E$19,0)</x:f>
        <x:v>0</x:v>
      </x:c>
      <x:c r="W22" s="55" t="n">
        <x:f>IF(COLUMN()=3,'Uso de fondos'!$E$19,0)</x:f>
        <x:v>0</x:v>
      </x:c>
      <x:c r="X22" s="55" t="n">
        <x:f>IF(COLUMN()=3,'Uso de fondos'!$E$19,0)</x:f>
        <x:v>0</x:v>
      </x:c>
      <x:c r="Y22" s="55" t="n">
        <x:f>IF(COLUMN()=3,'Uso de fondos'!$E$19,0)</x:f>
        <x:v>0</x:v>
      </x:c>
      <x:c r="Z22" s="55" t="n">
        <x:f>IF(COLUMN()=3,'Uso de fondos'!$E$19,0)</x:f>
        <x:v>0</x:v>
      </x:c>
    </x:row>
    <x:row r="23">
      <x:c r="B23" s="54" t="str">
        <x:v>Flujo mensual</x:v>
      </x:c>
      <x:c r="C23" s="55" t="n">
        <x:f>C21-C22</x:f>
        <x:v>-861632</x:v>
      </x:c>
      <x:c r="D23" s="55" t="n">
        <x:f>D21-D22</x:f>
        <x:v>-46713.600000000006</x:v>
      </x:c>
      <x:c r="E23" s="55" t="n">
        <x:f>E21-E22</x:f>
        <x:v>-31649.28</x:v>
      </x:c>
      <x:c r="F23" s="55" t="n">
        <x:f>F21-F22</x:f>
        <x:v>-16431.743999999977</x:v>
      </x:c>
      <x:c r="G23" s="55" t="n">
        <x:f>G21-G22</x:f>
        <x:v>41946.668799999985</x:v>
      </x:c>
      <x:c r="H23" s="55" t="n">
        <x:f>H21-H22</x:f>
        <x:v>57494.00224000003</x:v>
      </x:c>
      <x:c r="I23" s="55" t="n">
        <x:f>I21-I22</x:f>
        <x:v>73218.70235200002</x:v>
      </x:c>
      <x:c r="J23" s="55" t="n">
        <x:f>J21-J22</x:f>
        <x:v>89129.63746959998</x:v>
      </x:c>
      <x:c r="K23" s="55" t="n">
        <x:f>K21-K22</x:f>
        <x:v>105236.11934308003</x:v>
      </x:c>
      <x:c r="L23" s="55" t="n">
        <x:f>L21-L22</x:f>
        <x:v>121547.92531023402</x:v>
      </x:c>
      <x:c r="M23" s="55" t="n">
        <x:f>M21-M22</x:f>
        <x:v>138075.3215757457</x:v>
      </x:c>
      <x:c r="N23" s="55" t="n">
        <x:f>N21-N22</x:f>
        <x:v>154829.08765453298</x:v>
      </x:c>
      <x:c r="O23" s="55" t="n">
        <x:f>O21-O22</x:f>
        <x:v>171820.54203725967</x:v>
      </x:c>
      <x:c r="P23" s="55" t="n">
        <x:f>P21-P22</x:f>
        <x:v>189061.56913912267</x:v>
      </x:c>
      <x:c r="Q23" s="55" t="n">
        <x:f>Q21-Q22</x:f>
        <x:v>206564.6475960788</x:v>
      </x:c>
      <x:c r="R23" s="55" t="n">
        <x:f>R21-R22</x:f>
        <x:v>224342.8799758827</x:v>
      </x:c>
      <x:c r="S23" s="55" t="n">
        <x:f>S21-S22</x:f>
        <x:v>242410.02397467697</x:v>
      </x:c>
      <x:c r="T23" s="55" t="n">
        <x:f>T21-T22</x:f>
        <x:v>260780.52517341077</x:v>
      </x:c>
      <x:c r="U23" s="55" t="n">
        <x:f>U21-U22</x:f>
        <x:v>279469.55143208127</x:v>
      </x:c>
      <x:c r="V23" s="55" t="n">
        <x:f>V21-V22</x:f>
        <x:v>298493.02900368534</x:v>
      </x:c>
      <x:c r="W23" s="55" t="n">
        <x:f>W21-W22</x:f>
        <x:v>317867.6804538697</x:v>
      </x:c>
      <x:c r="X23" s="55" t="n">
        <x:f>X21-X22</x:f>
        <x:v>337611.06447656313</x:v>
      </x:c>
      <x:c r="Y23" s="55" t="n">
        <x:f>Y21-Y22</x:f>
        <x:v>357741.6177003914</x:v>
      </x:c>
      <x:c r="Z23" s="55" t="n">
        <x:f>Z21-Z22</x:f>
        <x:v>378278.69858541095</x:v>
      </x:c>
    </x:row>
    <x:row r="24">
      <x:c r="B24" s="54" t="str">
        <x:v>Aportacion socios inversionistas</x:v>
      </x:c>
      <x:c r="C24" s="55" t="n">
        <x:f>IF(COLUMN()=3,'Uso de fondos'!$E$22,0)</x:f>
        <x:v>600000</x:v>
      </x:c>
      <x:c r="D24" s="55" t="n">
        <x:f>IF(COLUMN()=3,'Uso de fondos'!$E$22,0)</x:f>
        <x:v>0</x:v>
      </x:c>
      <x:c r="E24" s="55" t="n">
        <x:f>IF(COLUMN()=3,'Uso de fondos'!$E$22,0)</x:f>
        <x:v>0</x:v>
      </x:c>
      <x:c r="F24" s="55" t="n">
        <x:f>IF(COLUMN()=3,'Uso de fondos'!$E$22,0)</x:f>
        <x:v>0</x:v>
      </x:c>
      <x:c r="G24" s="55" t="n">
        <x:f>IF(COLUMN()=3,'Uso de fondos'!$E$22,0)</x:f>
        <x:v>0</x:v>
      </x:c>
      <x:c r="H24" s="55" t="n">
        <x:f>IF(COLUMN()=3,'Uso de fondos'!$E$22,0)</x:f>
        <x:v>0</x:v>
      </x:c>
      <x:c r="I24" s="55" t="n">
        <x:f>IF(COLUMN()=3,'Uso de fondos'!$E$22,0)</x:f>
        <x:v>0</x:v>
      </x:c>
      <x:c r="J24" s="55" t="n">
        <x:f>IF(COLUMN()=3,'Uso de fondos'!$E$22,0)</x:f>
        <x:v>0</x:v>
      </x:c>
      <x:c r="K24" s="55" t="n">
        <x:f>IF(COLUMN()=3,'Uso de fondos'!$E$22,0)</x:f>
        <x:v>0</x:v>
      </x:c>
      <x:c r="L24" s="55" t="n">
        <x:f>IF(COLUMN()=3,'Uso de fondos'!$E$22,0)</x:f>
        <x:v>0</x:v>
      </x:c>
      <x:c r="M24" s="55" t="n">
        <x:f>IF(COLUMN()=3,'Uso de fondos'!$E$22,0)</x:f>
        <x:v>0</x:v>
      </x:c>
      <x:c r="N24" s="55" t="n">
        <x:f>IF(COLUMN()=3,'Uso de fondos'!$E$22,0)</x:f>
        <x:v>0</x:v>
      </x:c>
      <x:c r="O24" s="55" t="n">
        <x:f>IF(COLUMN()=3,'Uso de fondos'!$E$22,0)</x:f>
        <x:v>0</x:v>
      </x:c>
      <x:c r="P24" s="55" t="n">
        <x:f>IF(COLUMN()=3,'Uso de fondos'!$E$22,0)</x:f>
        <x:v>0</x:v>
      </x:c>
      <x:c r="Q24" s="55" t="n">
        <x:f>IF(COLUMN()=3,'Uso de fondos'!$E$22,0)</x:f>
        <x:v>0</x:v>
      </x:c>
      <x:c r="R24" s="55" t="n">
        <x:f>IF(COLUMN()=3,'Uso de fondos'!$E$22,0)</x:f>
        <x:v>0</x:v>
      </x:c>
      <x:c r="S24" s="55" t="n">
        <x:f>IF(COLUMN()=3,'Uso de fondos'!$E$22,0)</x:f>
        <x:v>0</x:v>
      </x:c>
      <x:c r="T24" s="55" t="n">
        <x:f>IF(COLUMN()=3,'Uso de fondos'!$E$22,0)</x:f>
        <x:v>0</x:v>
      </x:c>
      <x:c r="U24" s="55" t="n">
        <x:f>IF(COLUMN()=3,'Uso de fondos'!$E$22,0)</x:f>
        <x:v>0</x:v>
      </x:c>
      <x:c r="V24" s="55" t="n">
        <x:f>IF(COLUMN()=3,'Uso de fondos'!$E$22,0)</x:f>
        <x:v>0</x:v>
      </x:c>
      <x:c r="W24" s="55" t="n">
        <x:f>IF(COLUMN()=3,'Uso de fondos'!$E$22,0)</x:f>
        <x:v>0</x:v>
      </x:c>
      <x:c r="X24" s="55" t="n">
        <x:f>IF(COLUMN()=3,'Uso de fondos'!$E$22,0)</x:f>
        <x:v>0</x:v>
      </x:c>
      <x:c r="Y24" s="55" t="n">
        <x:f>IF(COLUMN()=3,'Uso de fondos'!$E$22,0)</x:f>
        <x:v>0</x:v>
      </x:c>
      <x:c r="Z24" s="55" t="n">
        <x:f>IF(COLUMN()=3,'Uso de fondos'!$E$22,0)</x:f>
        <x:v>0</x:v>
      </x:c>
    </x:row>
    <x:row r="25">
      <x:c r="B25" s="54" t="str">
        <x:v>Capital fundador / no dilutivo</x:v>
      </x:c>
      <x:c r="C25" s="55" t="n">
        <x:f>IF(COLUMN()=3,'Uso de fondos'!$E$27,0)</x:f>
        <x:v>200000</x:v>
      </x:c>
      <x:c r="D25" s="55" t="n">
        <x:f>IF(COLUMN()=3,'Uso de fondos'!$E$27,0)</x:f>
        <x:v>0</x:v>
      </x:c>
      <x:c r="E25" s="55" t="n">
        <x:f>IF(COLUMN()=3,'Uso de fondos'!$E$27,0)</x:f>
        <x:v>0</x:v>
      </x:c>
      <x:c r="F25" s="55" t="n">
        <x:f>IF(COLUMN()=3,'Uso de fondos'!$E$27,0)</x:f>
        <x:v>0</x:v>
      </x:c>
      <x:c r="G25" s="55" t="n">
        <x:f>IF(COLUMN()=3,'Uso de fondos'!$E$27,0)</x:f>
        <x:v>0</x:v>
      </x:c>
      <x:c r="H25" s="55" t="n">
        <x:f>IF(COLUMN()=3,'Uso de fondos'!$E$27,0)</x:f>
        <x:v>0</x:v>
      </x:c>
      <x:c r="I25" s="55" t="n">
        <x:f>IF(COLUMN()=3,'Uso de fondos'!$E$27,0)</x:f>
        <x:v>0</x:v>
      </x:c>
      <x:c r="J25" s="55" t="n">
        <x:f>IF(COLUMN()=3,'Uso de fondos'!$E$27,0)</x:f>
        <x:v>0</x:v>
      </x:c>
      <x:c r="K25" s="55" t="n">
        <x:f>IF(COLUMN()=3,'Uso de fondos'!$E$27,0)</x:f>
        <x:v>0</x:v>
      </x:c>
      <x:c r="L25" s="55" t="n">
        <x:f>IF(COLUMN()=3,'Uso de fondos'!$E$27,0)</x:f>
        <x:v>0</x:v>
      </x:c>
      <x:c r="M25" s="55" t="n">
        <x:f>IF(COLUMN()=3,'Uso de fondos'!$E$27,0)</x:f>
        <x:v>0</x:v>
      </x:c>
      <x:c r="N25" s="55" t="n">
        <x:f>IF(COLUMN()=3,'Uso de fondos'!$E$27,0)</x:f>
        <x:v>0</x:v>
      </x:c>
      <x:c r="O25" s="55" t="n">
        <x:f>IF(COLUMN()=3,'Uso de fondos'!$E$27,0)</x:f>
        <x:v>0</x:v>
      </x:c>
      <x:c r="P25" s="55" t="n">
        <x:f>IF(COLUMN()=3,'Uso de fondos'!$E$27,0)</x:f>
        <x:v>0</x:v>
      </x:c>
      <x:c r="Q25" s="55" t="n">
        <x:f>IF(COLUMN()=3,'Uso de fondos'!$E$27,0)</x:f>
        <x:v>0</x:v>
      </x:c>
      <x:c r="R25" s="55" t="n">
        <x:f>IF(COLUMN()=3,'Uso de fondos'!$E$27,0)</x:f>
        <x:v>0</x:v>
      </x:c>
      <x:c r="S25" s="55" t="n">
        <x:f>IF(COLUMN()=3,'Uso de fondos'!$E$27,0)</x:f>
        <x:v>0</x:v>
      </x:c>
      <x:c r="T25" s="55" t="n">
        <x:f>IF(COLUMN()=3,'Uso de fondos'!$E$27,0)</x:f>
        <x:v>0</x:v>
      </x:c>
      <x:c r="U25" s="55" t="n">
        <x:f>IF(COLUMN()=3,'Uso de fondos'!$E$27,0)</x:f>
        <x:v>0</x:v>
      </x:c>
      <x:c r="V25" s="55" t="n">
        <x:f>IF(COLUMN()=3,'Uso de fondos'!$E$27,0)</x:f>
        <x:v>0</x:v>
      </x:c>
      <x:c r="W25" s="55" t="n">
        <x:f>IF(COLUMN()=3,'Uso de fondos'!$E$27,0)</x:f>
        <x:v>0</x:v>
      </x:c>
      <x:c r="X25" s="55" t="n">
        <x:f>IF(COLUMN()=3,'Uso de fondos'!$E$27,0)</x:f>
        <x:v>0</x:v>
      </x:c>
      <x:c r="Y25" s="55" t="n">
        <x:f>IF(COLUMN()=3,'Uso de fondos'!$E$27,0)</x:f>
        <x:v>0</x:v>
      </x:c>
      <x:c r="Z25" s="55" t="n">
        <x:f>IF(COLUMN()=3,'Uso de fondos'!$E$27,0)</x:f>
        <x:v>0</x:v>
      </x:c>
    </x:row>
    <x:row r="26">
      <x:c r="B26" s="39" t="str">
        <x:v>Caja final acumulada</x:v>
      </x:c>
      <x:c r="C26" s="40" t="n">
        <x:f>IF(COLUMN()=3,C23+C24+C25,B26+C23+C24+C25)</x:f>
        <x:v>-61632</x:v>
      </x:c>
      <x:c r="D26" s="40" t="n">
        <x:f>IF(COLUMN()=3,D23+D24+D25,C26+D23+D24+D25)</x:f>
        <x:v>-108345.6</x:v>
      </x:c>
      <x:c r="E26" s="40" t="n">
        <x:f>IF(COLUMN()=3,E23+E24+E25,D26+E23+E24+E25)</x:f>
        <x:v>-139994.88</x:v>
      </x:c>
      <x:c r="F26" s="40" t="n">
        <x:f>IF(COLUMN()=3,F23+F24+F25,E26+F23+F24+F25)</x:f>
        <x:v>-156426.62399999998</x:v>
      </x:c>
      <x:c r="G26" s="40" t="n">
        <x:f>IF(COLUMN()=3,G23+G24+G25,F26+G23+G24+G25)</x:f>
        <x:v>-114479.9552</x:v>
      </x:c>
      <x:c r="H26" s="40" t="n">
        <x:f>IF(COLUMN()=3,H23+H24+H25,G26+H23+H24+H25)</x:f>
        <x:v>-56985.952959999966</x:v>
      </x:c>
      <x:c r="I26" s="40" t="n">
        <x:f>IF(COLUMN()=3,I23+I24+I25,H26+I23+I24+I25)</x:f>
        <x:v>16232.749392000056</x:v>
      </x:c>
      <x:c r="J26" s="40" t="n">
        <x:f>IF(COLUMN()=3,J23+J24+J25,I26+J23+J24+J25)</x:f>
        <x:v>105362.38686160004</x:v>
      </x:c>
      <x:c r="K26" s="40" t="n">
        <x:f>IF(COLUMN()=3,K23+K24+K25,J26+K23+K24+K25)</x:f>
        <x:v>210598.50620468007</x:v>
      </x:c>
      <x:c r="L26" s="40" t="n">
        <x:f>IF(COLUMN()=3,L23+L24+L25,K26+L23+L24+L25)</x:f>
        <x:v>332146.4315149141</x:v>
      </x:c>
      <x:c r="M26" s="40" t="n">
        <x:f>IF(COLUMN()=3,M23+M24+M25,L26+M23+M24+M25)</x:f>
        <x:v>470221.7530906598</x:v>
      </x:c>
      <x:c r="N26" s="40" t="n">
        <x:f>IF(COLUMN()=3,N23+N24+N25,M26+N23+N24+N25)</x:f>
        <x:v>625050.8407451927</x:v>
      </x:c>
      <x:c r="O26" s="40" t="n">
        <x:f>IF(COLUMN()=3,O23+O24+O25,N26+O23+O24+O25)</x:f>
        <x:v>796871.3827824524</x:v>
      </x:c>
      <x:c r="P26" s="40" t="n">
        <x:f>IF(COLUMN()=3,P23+P24+P25,O26+P23+P24+P25)</x:f>
        <x:v>985932.951921575</x:v>
      </x:c>
      <x:c r="Q26" s="40" t="n">
        <x:f>IF(COLUMN()=3,Q23+Q24+Q25,P26+Q23+Q24+Q25)</x:f>
        <x:v>1192497.5995176537</x:v>
      </x:c>
      <x:c r="R26" s="40" t="n">
        <x:f>IF(COLUMN()=3,R23+R24+R25,Q26+R23+R24+R25)</x:f>
        <x:v>1416840.4794935365</x:v>
      </x:c>
      <x:c r="S26" s="40" t="n">
        <x:f>IF(COLUMN()=3,S23+S24+S25,R26+S23+S24+S25)</x:f>
        <x:v>1659250.5034682136</x:v>
      </x:c>
      <x:c r="T26" s="40" t="n">
        <x:f>IF(COLUMN()=3,T23+T24+T25,S26+T23+T24+T25)</x:f>
        <x:v>1920031.0286416244</x:v>
      </x:c>
      <x:c r="U26" s="40" t="n">
        <x:f>IF(COLUMN()=3,U23+U24+U25,T26+U23+U24+U25)</x:f>
        <x:v>2199500.580073706</x:v>
      </x:c>
      <x:c r="V26" s="40" t="n">
        <x:f>IF(COLUMN()=3,V23+V24+V25,U26+V23+V24+V25)</x:f>
        <x:v>2497993.609077391</x:v>
      </x:c>
      <x:c r="W26" s="40" t="n">
        <x:f>IF(COLUMN()=3,W23+W24+W25,V26+W23+W24+W25)</x:f>
        <x:v>2815861.2895312607</x:v>
      </x:c>
      <x:c r="X26" s="40" t="n">
        <x:f>IF(COLUMN()=3,X23+X24+X25,W26+X23+X24+X25)</x:f>
        <x:v>3153472.354007824</x:v>
      </x:c>
      <x:c r="Y26" s="40" t="n">
        <x:f>IF(COLUMN()=3,Y23+Y24+Y25,X26+Y23+Y24+Y25)</x:f>
        <x:v>3511213.9717082153</x:v>
      </x:c>
      <x:c r="Z26" s="40" t="n">
        <x:f>IF(COLUMN()=3,Z23+Z24+Z25,Y26+Z23+Z24+Z25)</x:f>
        <x:v>3889492.6702936264</x:v>
      </x:c>
    </x:row>
  </x:sheetData>
  <x:mergeCells>
    <x:mergeCell ref="B2:Z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22" hidden="0" customWidth="1"/>
  </x:cols>
  <x:sheetData>
    <x:row r="2">
      <x:c r="B2" s="4" t="str">
        <x:v>Experience Safely - Escenarios de crecimiento y valuacion</x:v>
      </x:c>
      <x:c r="C2" s="4" t="str">
        <x:v>Experience Safely - Escenarios de crecimiento y valuacion</x:v>
      </x:c>
      <x:c r="D2" s="4" t="str">
        <x:v>Experience Safely - Escenarios de crecimiento y valuacion</x:v>
      </x:c>
      <x:c r="E2" s="4" t="str">
        <x:v>Experience Safely - Escenarios de crecimiento y valuacion</x:v>
      </x:c>
      <x:c r="F2" s="4" t="str">
        <x:v>Experience Safely - Escenarios de crecimiento y valuacion</x:v>
      </x:c>
      <x:c r="G2" s="4" t="str">
        <x:v>Experience Safely - Escenarios de crecimiento y valuacion</x:v>
      </x:c>
      <x:c r="H2" s="4" t="str">
        <x:v>Experience Safely - Escenarios de crecimiento y valuacion</x:v>
      </x:c>
      <x:c r="I2" s="4" t="str">
        <x:v>Experience Safely - Escenarios de crecimiento y valuacion</x:v>
      </x:c>
      <x:c r="J2" s="4" t="str">
        <x:v>Experience Safely - Escenarios de crecimiento y valuacion</x:v>
      </x:c>
    </x:row>
    <x:row r="3">
      <x:c r="B3" s="4" t="str">
        <x:v>Experience Safely - Escenarios de crecimiento y valuacion</x:v>
      </x:c>
      <x:c r="C3" s="4" t="str">
        <x:v>Experience Safely - Escenarios de crecimiento y valuacion</x:v>
      </x:c>
      <x:c r="D3" s="4" t="str">
        <x:v>Experience Safely - Escenarios de crecimiento y valuacion</x:v>
      </x:c>
      <x:c r="E3" s="4" t="str">
        <x:v>Experience Safely - Escenarios de crecimiento y valuacion</x:v>
      </x:c>
      <x:c r="F3" s="4" t="str">
        <x:v>Experience Safely - Escenarios de crecimiento y valuacion</x:v>
      </x:c>
      <x:c r="G3" s="4" t="str">
        <x:v>Experience Safely - Escenarios de crecimiento y valuacion</x:v>
      </x:c>
      <x:c r="H3" s="4" t="str">
        <x:v>Experience Safely - Escenarios de crecimiento y valuacion</x:v>
      </x:c>
      <x:c r="I3" s="4" t="str">
        <x:v>Experience Safely - Escenarios de crecimiento y valuacion</x:v>
      </x:c>
      <x:c r="J3" s="4" t="str">
        <x:v>Experience Safely - Escenarios de crecimiento y valuacion</x:v>
      </x:c>
    </x:row>
    <x:row r="4">
      <x:c r="B4" s="4" t="str">
        <x:v>Experience Safely - Escenarios de crecimiento y valuacion</x:v>
      </x:c>
      <x:c r="C4" s="4" t="str">
        <x:v>Experience Safely - Escenarios de crecimiento y valuacion</x:v>
      </x:c>
      <x:c r="D4" s="4" t="str">
        <x:v>Experience Safely - Escenarios de crecimiento y valuacion</x:v>
      </x:c>
      <x:c r="E4" s="4" t="str">
        <x:v>Experience Safely - Escenarios de crecimiento y valuacion</x:v>
      </x:c>
      <x:c r="F4" s="4" t="str">
        <x:v>Experience Safely - Escenarios de crecimiento y valuacion</x:v>
      </x:c>
      <x:c r="G4" s="4" t="str">
        <x:v>Experience Safely - Escenarios de crecimiento y valuacion</x:v>
      </x:c>
      <x:c r="H4" s="4" t="str">
        <x:v>Experience Safely - Escenarios de crecimiento y valuacion</x:v>
      </x:c>
      <x:c r="I4" s="4" t="str">
        <x:v>Experience Safely - Escenarios de crecimiento y valuacion</x:v>
      </x:c>
      <x:c r="J4" s="4" t="str">
        <x:v>Experience Safely - Escenarios de crecimiento y valuacion</x:v>
      </x:c>
    </x:row>
    <x:row r="5">
      <x:c r="B5" s="53"/>
      <x:c r="C5" s="53"/>
      <x:c r="D5" s="53"/>
      <x:c r="E5" s="53"/>
      <x:c r="F5" s="53"/>
      <x:c r="G5" s="53"/>
      <x:c r="H5" s="53"/>
      <x:c r="I5" s="53"/>
      <x:c r="J5" s="53"/>
    </x:row>
    <x:row r="6">
      <x:c r="B6" s="31" t="str">
        <x:v>Escenario</x:v>
      </x:c>
      <x:c r="C6" s="31" t="str">
        <x:v>Experiencias iniciales</x:v>
      </x:c>
      <x:c r="D6" s="31" t="str">
        <x:v>Altas mensuales</x:v>
      </x:c>
      <x:c r="E6" s="31" t="str">
        <x:v>Clientes diarios</x:v>
      </x:c>
      <x:c r="F6" s="31" t="str">
        <x:v>Ingresos mes 12</x:v>
      </x:c>
      <x:c r="G6" s="31" t="str">
        <x:v>EBITDA mes 12</x:v>
      </x:c>
      <x:c r="H6" s="31" t="str">
        <x:v>Caja mes 24</x:v>
      </x:c>
      <x:c r="I6" s="31" t="str">
        <x:v>Revenue anualizado mes 24</x:v>
      </x:c>
      <x:c r="J6" s="31" t="str">
        <x:v>Valuacion preliminar</x:v>
      </x:c>
    </x:row>
    <x:row r="7">
      <x:c r="B7" s="54" t="str">
        <x:v>Conservador</x:v>
      </x:c>
      <x:c r="C7" s="57" t="n">
        <x:v>20</x:v>
      </x:c>
      <x:c r="D7" s="57" t="n">
        <x:v>3</x:v>
      </x:c>
      <x:c r="E7" s="57" t="n">
        <x:v>10</x:v>
      </x:c>
      <x:c r="F7" s="55" t="n">
        <x:f>(((E7*(1+'Modelo ingresos'!$C$10)^11*'Modelo ingresos'!$C$11*'Modelo ingresos'!$C$12)*'Modelo ingresos'!$C$13*'Modelo ingresos'!$C$14)+(C7+D7*11*'Modelo ingresos'!$C$15))</x:f>
        <x:v>158378.325338281</x:v>
      </x:c>
      <x:c r="G7" s="55" t="n">
        <x:f>(((E7*(1+'Modelo ingresos'!$C$10)^11*'Modelo ingresos'!$C$11*'Modelo ingresos'!$C$12)*'Modelo ingresos'!$C$13*'Modelo ingresos'!$C$14)+(C7+D7*11*'Modelo ingresos'!$C$15))-(((E7*(1+'Modelo ingresos'!$C$10)^11*'Modelo ingresos'!$C$11*'Modelo ingresos'!$C$12)*'Modelo ingresos'!$C$16)+((E7*(1+'Modelo ingresos'!$C$10)^11*'Modelo ingresos'!$C$11*'Modelo ingresos'!$C$12)*'Modelo ingresos'!$C$13*'Modelo ingresos'!$C$17))-97000</x:f>
        <x:v>31413.179784083157</x:v>
      </x:c>
      <x:c r="H7" s="55" t="n">
        <x:f>SUM('Uso de fondos'!$E$21-'Uso de fondos'!$E$19,(((E7*(1+'Modelo ingresos'!$C$10)^23*'Modelo ingresos'!$C$11*'Modelo ingresos'!$C$12)*'Modelo ingresos'!$C$13*'Modelo ingresos'!$C$14)+(C7+D7*23*'Modelo ingresos'!$C$15))*6)</x:f>
        <x:v>1823293.696917371</x:v>
      </x:c>
      <x:c r="I7" s="55" t="n">
        <x:f>(((E7*(1+'Modelo ingresos'!$C$10)^23*'Modelo ingresos'!$C$11*'Modelo ingresos'!$C$12)*'Modelo ingresos'!$C$13*'Modelo ingresos'!$C$14)+(C7+D7*23*'Modelo ingresos'!$C$15))*12</x:f>
        <x:v>3646587.393834742</x:v>
      </x:c>
      <x:c r="J7" s="55" t="n">
        <x:f>I7*1.2</x:f>
        <x:v>4375904.87260169</x:v>
      </x:c>
    </x:row>
    <x:row r="8">
      <x:c r="B8" s="54" t="str">
        <x:v>Esperado</x:v>
      </x:c>
      <x:c r="C8" s="57" t="n">
        <x:v>40</x:v>
      </x:c>
      <x:c r="D8" s="57" t="n">
        <x:v>6</x:v>
      </x:c>
      <x:c r="E8" s="57" t="n">
        <x:v>16</x:v>
      </x:c>
      <x:c r="F8" s="55" t="n">
        <x:f>(((E8*(1+'Modelo ingresos'!$C$10)^11*'Modelo ingresos'!$C$11*'Modelo ingresos'!$C$12)*'Modelo ingresos'!$C$13*'Modelo ingresos'!$C$14)+(C8+D8*11*'Modelo ingresos'!$C$15))</x:f>
        <x:v>279813.32054124953</x:v>
      </x:c>
      <x:c r="G8" s="55" t="n">
        <x:f>(((E8*(1+'Modelo ingresos'!$C$10)^11*'Modelo ingresos'!$C$11*'Modelo ingresos'!$C$12)*'Modelo ingresos'!$C$13*'Modelo ingresos'!$C$14)+(C8+D8*11*'Modelo ingresos'!$C$15))-(((E8*(1+'Modelo ingresos'!$C$10)^11*'Modelo ingresos'!$C$11*'Modelo ingresos'!$C$12)*'Modelo ingresos'!$C$16)+((E8*(1+'Modelo ingresos'!$C$10)^11*'Modelo ingresos'!$C$11*'Modelo ingresos'!$C$12)*'Modelo ingresos'!$C$13*'Modelo ingresos'!$C$17))-97000</x:f>
        <x:v>134869.087654533</x:v>
      </x:c>
      <x:c r="H8" s="55" t="n">
        <x:f>SUM('Uso de fondos'!$E$21-'Uso de fondos'!$E$19,(((E8*(1+'Modelo ingresos'!$C$10)^23*'Modelo ingresos'!$C$11*'Modelo ingresos'!$C$12)*'Modelo ingresos'!$C$13*'Modelo ingresos'!$C$14)+(C8+D8*23*'Modelo ingresos'!$C$15))*6)</x:f>
        <x:v>3248517.915067794</x:v>
      </x:c>
      <x:c r="I8" s="55" t="n">
        <x:f>(((E8*(1+'Modelo ingresos'!$C$10)^23*'Modelo ingresos'!$C$11*'Modelo ingresos'!$C$12)*'Modelo ingresos'!$C$13*'Modelo ingresos'!$C$14)+(C8+D8*23*'Modelo ingresos'!$C$15))*12</x:f>
        <x:v>6497035.830135588</x:v>
      </x:c>
      <x:c r="J8" s="55" t="n">
        <x:f>I8*1.8</x:f>
        <x:v>11694664.494244058</x:v>
      </x:c>
    </x:row>
    <x:row r="9">
      <x:c r="B9" s="54" t="str">
        <x:v>Optimista</x:v>
      </x:c>
      <x:c r="C9" s="57" t="n">
        <x:v>45</x:v>
      </x:c>
      <x:c r="D9" s="57" t="n">
        <x:v>10</x:v>
      </x:c>
      <x:c r="E9" s="57" t="n">
        <x:v>25</x:v>
      </x:c>
      <x:c r="F9" s="55" t="n">
        <x:f>(((E9*(1+'Modelo ingresos'!$C$10)^11*'Modelo ingresos'!$C$11*'Modelo ingresos'!$C$12)*'Modelo ingresos'!$C$13*'Modelo ingresos'!$C$14)+(C9+D9*11*'Modelo ingresos'!$C$15))</x:f>
        <x:v>450940.81334570237</x:v>
      </x:c>
      <x:c r="G9" s="55" t="n">
        <x:f>(((E9*(1+'Modelo ingresos'!$C$10)^11*'Modelo ingresos'!$C$11*'Modelo ingresos'!$C$12)*'Modelo ingresos'!$C$13*'Modelo ingresos'!$C$14)+(C9+D9*11*'Modelo ingresos'!$C$15))-(((E9*(1+'Modelo ingresos'!$C$10)^11*'Modelo ingresos'!$C$11*'Modelo ingresos'!$C$12)*'Modelo ingresos'!$C$16)+((E9*(1+'Modelo ingresos'!$C$10)^11*'Modelo ingresos'!$C$11*'Modelo ingresos'!$C$12)*'Modelo ingresos'!$C$13*'Modelo ingresos'!$C$17))-97000</x:f>
        <x:v>279027.94946020783</x:v>
      </x:c>
      <x:c r="H9" s="55" t="n">
        <x:f>SUM('Uso de fondos'!$E$21-'Uso de fondos'!$E$19,(((E9*(1+'Modelo ingresos'!$C$10)^23*'Modelo ingresos'!$C$11*'Modelo ingresos'!$C$12)*'Modelo ingresos'!$C$13*'Modelo ingresos'!$C$14)+(C9+D9*23*'Modelo ingresos'!$C$15))*6)</x:f>
        <x:v>5248204.242293428</x:v>
      </x:c>
      <x:c r="I9" s="55" t="n">
        <x:f>(((E9*(1+'Modelo ingresos'!$C$10)^23*'Modelo ingresos'!$C$11*'Modelo ingresos'!$C$12)*'Modelo ingresos'!$C$13*'Modelo ingresos'!$C$14)+(C9+D9*23*'Modelo ingresos'!$C$15))*12</x:f>
        <x:v>10496408.484586855</x:v>
      </x:c>
      <x:c r="J9" s="55" t="n">
        <x:f>I9*2.5</x:f>
        <x:v>26241021.21146714</x:v>
      </x:c>
    </x:row>
    <x:row r="10">
      <x:c r="B10" s="53"/>
      <x:c r="C10" s="53"/>
      <x:c r="D10" s="53"/>
      <x:c r="E10" s="53"/>
      <x:c r="F10" s="53"/>
      <x:c r="G10" s="53"/>
      <x:c r="H10" s="53"/>
      <x:c r="I10" s="53"/>
      <x:c r="J10" s="53"/>
    </x:row>
    <x:row r="11">
      <x:c r="B11" s="53"/>
      <x:c r="C11" s="53"/>
      <x:c r="D11" s="53"/>
      <x:c r="E11" s="53"/>
      <x:c r="F11" s="53"/>
      <x:c r="G11" s="53"/>
      <x:c r="H11" s="53"/>
      <x:c r="I11" s="53"/>
      <x:c r="J11" s="53"/>
    </x:row>
    <x:row r="12">
      <x:c r="B12" s="50" t="str">
        <x:v>Notas de lectura</x:v>
      </x:c>
      <x:c r="C12" s="50" t="str"/>
      <x:c r="D12" s="50" t="str"/>
      <x:c r="E12" s="50" t="str"/>
      <x:c r="F12" s="50" t="str"/>
      <x:c r="G12" s="50" t="str"/>
      <x:c r="H12" s="50" t="str"/>
      <x:c r="I12" s="50" t="str"/>
      <x:c r="J12" s="50" t="str"/>
    </x:row>
    <x:row r="13" ht="21" customHeight="1">
      <x:c r="B13" s="53" t="str">
        <x:v>1</x:v>
      </x:c>
      <x:c r="C13" s="62" t="str">
        <x:v>El socio puede entrar con cualquier monto; el porcentaje se calcula contra la ronda de $600,000.</x:v>
      </x:c>
      <x:c r="D13" s="62" t="str"/>
      <x:c r="E13" s="62" t="str"/>
      <x:c r="F13" s="62" t="str"/>
      <x:c r="G13" s="62" t="str"/>
      <x:c r="H13" s="62" t="str"/>
      <x:c r="I13" s="62" t="str"/>
      <x:c r="J13" s="62" t="str"/>
    </x:row>
    <x:row r="14" ht="21" customHeight="1">
      <x:c r="B14" s="53" t="str">
        <x:v>2</x:v>
      </x:c>
      <x:c r="C14" s="62" t="str">
        <x:v>Cada cliente usa una experiencia por dia; la plataforma cobra 15% sobre ventas y $2,000 mensuales por experiencia afiliada.</x:v>
      </x:c>
      <x:c r="D14" s="62" t="str"/>
      <x:c r="E14" s="62" t="str"/>
      <x:c r="F14" s="62" t="str"/>
      <x:c r="G14" s="62" t="str"/>
      <x:c r="H14" s="62" t="str"/>
      <x:c r="I14" s="62" t="str"/>
      <x:c r="J14" s="62" t="str"/>
    </x:row>
    <x:row r="15" ht="21" customHeight="1">
      <x:c r="B15" s="53" t="str">
        <x:v>3</x:v>
      </x:c>
      <x:c r="C15" s="62" t="str">
        <x:v>Los vehiculos, uniformes, medallas y rueda de prensa convierten la plataforma en marca visible y verificable.</x:v>
      </x:c>
      <x:c r="D15" s="62" t="str"/>
      <x:c r="E15" s="62" t="str"/>
      <x:c r="F15" s="62" t="str"/>
      <x:c r="G15" s="62" t="str"/>
      <x:c r="H15" s="62" t="str"/>
      <x:c r="I15" s="62" t="str"/>
      <x:c r="J15" s="62" t="str"/>
    </x:row>
    <x:row r="16" ht="21" customHeight="1">
      <x:c r="B16" s="53" t="str">
        <x:v>4</x:v>
      </x:c>
      <x:c r="C16" s="62" t="str">
        <x:v>Los escenarios deben actualizarse con acuerdos reales de proveedores antes de una negociacion formal.</x:v>
      </x:c>
      <x:c r="D16" s="62" t="str"/>
      <x:c r="E16" s="62" t="str"/>
      <x:c r="F16" s="62" t="str"/>
      <x:c r="G16" s="62" t="str"/>
      <x:c r="H16" s="62" t="str"/>
      <x:c r="I16" s="62" t="str"/>
      <x:c r="J16" s="62" t="str"/>
    </x:row>
  </x:sheetData>
  <x:mergeCells>
    <x:mergeCell ref="B2:J4"/>
    <x:mergeCell ref="C13:J13"/>
    <x:mergeCell ref="C14:J14"/>
    <x:mergeCell ref="C15:J15"/>
    <x:mergeCell ref="C16:J16"/>
  </x:mergeCells>
  <x:pageMargins left="0.7" right="0.7" top="0.75" bottom="0.75" header="0.3" footer="0.3"/>
</x:worksheet>
</file>